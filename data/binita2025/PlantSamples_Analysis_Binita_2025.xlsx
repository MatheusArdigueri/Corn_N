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PROJECTS_Master\IrrigationxNitrogen (corn)\2025\Camilla\Plant_samples ANalysis\"/>
    </mc:Choice>
  </mc:AlternateContent>
  <xr:revisionPtr revIDLastSave="0" documentId="13_ncr:1_{8F2EE5AF-B798-45DF-AC15-33240C55D191}" xr6:coauthVersionLast="47" xr6:coauthVersionMax="47" xr10:uidLastSave="{00000000-0000-0000-0000-000000000000}"/>
  <bookViews>
    <workbookView xWindow="-90" yWindow="-14510" windowWidth="25820" windowHeight="139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2" i="1"/>
  <c r="E2" i="1" s="1"/>
  <c r="H4" i="1" l="1"/>
  <c r="K4" i="1"/>
  <c r="H3" i="1"/>
  <c r="K3" i="1" s="1"/>
  <c r="H18" i="1"/>
  <c r="K18" i="1" s="1"/>
  <c r="H19" i="1"/>
  <c r="K19" i="1" s="1"/>
  <c r="H20" i="1"/>
  <c r="K20" i="1" s="1"/>
  <c r="H21" i="1"/>
  <c r="K21" i="1" s="1"/>
  <c r="T4" i="1"/>
  <c r="W4" i="1" s="1"/>
  <c r="T33" i="1"/>
  <c r="W33" i="1" s="1"/>
  <c r="T38" i="1"/>
  <c r="W38" i="1" s="1"/>
  <c r="T42" i="1"/>
  <c r="W42" i="1" s="1"/>
  <c r="T46" i="1"/>
  <c r="W46" i="1" s="1"/>
  <c r="T49" i="1"/>
  <c r="W49" i="1" s="1"/>
  <c r="H5" i="1"/>
  <c r="K5" i="1" s="1"/>
  <c r="H6" i="1"/>
  <c r="K6" i="1" s="1"/>
  <c r="H7" i="1"/>
  <c r="K7" i="1" s="1"/>
  <c r="H8" i="1"/>
  <c r="K8" i="1" s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K16" i="1" s="1"/>
  <c r="H17" i="1"/>
  <c r="K17" i="1" s="1"/>
  <c r="T31" i="1"/>
  <c r="W31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2" i="1"/>
  <c r="T3" i="1"/>
  <c r="W3" i="1" s="1"/>
  <c r="T5" i="1"/>
  <c r="W5" i="1" s="1"/>
  <c r="T6" i="1"/>
  <c r="W6" i="1" s="1"/>
  <c r="T7" i="1"/>
  <c r="W7" i="1" s="1"/>
  <c r="T8" i="1"/>
  <c r="W8" i="1" s="1"/>
  <c r="T9" i="1"/>
  <c r="W9" i="1" s="1"/>
  <c r="T10" i="1"/>
  <c r="W10" i="1" s="1"/>
  <c r="T11" i="1"/>
  <c r="W11" i="1" s="1"/>
  <c r="T12" i="1"/>
  <c r="W12" i="1" s="1"/>
  <c r="T13" i="1"/>
  <c r="W13" i="1" s="1"/>
  <c r="T14" i="1"/>
  <c r="W14" i="1" s="1"/>
  <c r="T15" i="1"/>
  <c r="W15" i="1" s="1"/>
  <c r="T16" i="1"/>
  <c r="W16" i="1" s="1"/>
  <c r="T17" i="1"/>
  <c r="W17" i="1" s="1"/>
  <c r="T18" i="1"/>
  <c r="W18" i="1" s="1"/>
  <c r="T19" i="1"/>
  <c r="W19" i="1" s="1"/>
  <c r="T20" i="1"/>
  <c r="W20" i="1" s="1"/>
  <c r="T21" i="1"/>
  <c r="W21" i="1" s="1"/>
  <c r="T22" i="1"/>
  <c r="W22" i="1" s="1"/>
  <c r="T23" i="1"/>
  <c r="W23" i="1" s="1"/>
  <c r="T24" i="1"/>
  <c r="W24" i="1" s="1"/>
  <c r="T25" i="1"/>
  <c r="W25" i="1" s="1"/>
  <c r="T26" i="1"/>
  <c r="W26" i="1" s="1"/>
  <c r="T27" i="1"/>
  <c r="W27" i="1" s="1"/>
  <c r="T28" i="1"/>
  <c r="W28" i="1" s="1"/>
  <c r="T29" i="1"/>
  <c r="W29" i="1" s="1"/>
  <c r="T30" i="1"/>
  <c r="W30" i="1" s="1"/>
  <c r="T32" i="1"/>
  <c r="W32" i="1" s="1"/>
  <c r="T34" i="1"/>
  <c r="W34" i="1" s="1"/>
  <c r="T35" i="1"/>
  <c r="W35" i="1" s="1"/>
  <c r="T36" i="1"/>
  <c r="W36" i="1" s="1"/>
  <c r="T37" i="1"/>
  <c r="W37" i="1" s="1"/>
  <c r="T39" i="1"/>
  <c r="W39" i="1" s="1"/>
  <c r="T40" i="1"/>
  <c r="W40" i="1" s="1"/>
  <c r="T41" i="1"/>
  <c r="W41" i="1" s="1"/>
  <c r="T43" i="1"/>
  <c r="W43" i="1" s="1"/>
  <c r="T44" i="1"/>
  <c r="W44" i="1" s="1"/>
  <c r="T45" i="1"/>
  <c r="W45" i="1" s="1"/>
  <c r="T47" i="1"/>
  <c r="W47" i="1" s="1"/>
  <c r="T48" i="1"/>
  <c r="W48" i="1" s="1"/>
  <c r="T2" i="1"/>
  <c r="W2" i="1" s="1"/>
  <c r="N22" i="1"/>
  <c r="Q22" i="1" s="1"/>
  <c r="N23" i="1"/>
  <c r="Q23" i="1" s="1"/>
  <c r="N24" i="1"/>
  <c r="Q24" i="1" s="1"/>
  <c r="N25" i="1"/>
  <c r="Q25" i="1" s="1"/>
  <c r="N26" i="1"/>
  <c r="Q26" i="1" s="1"/>
  <c r="N27" i="1"/>
  <c r="Q27" i="1" s="1"/>
  <c r="N28" i="1"/>
  <c r="Q28" i="1" s="1"/>
  <c r="N29" i="1"/>
  <c r="Q29" i="1" s="1"/>
  <c r="N30" i="1"/>
  <c r="Q30" i="1" s="1"/>
  <c r="N31" i="1"/>
  <c r="Q31" i="1" s="1"/>
  <c r="N32" i="1"/>
  <c r="Q32" i="1" s="1"/>
  <c r="N33" i="1"/>
  <c r="Q33" i="1" s="1"/>
  <c r="N34" i="1"/>
  <c r="Q34" i="1" s="1"/>
  <c r="N35" i="1"/>
  <c r="Q35" i="1" s="1"/>
  <c r="N36" i="1"/>
  <c r="Q36" i="1" s="1"/>
  <c r="N37" i="1"/>
  <c r="Q37" i="1" s="1"/>
  <c r="N38" i="1"/>
  <c r="Q38" i="1" s="1"/>
  <c r="N39" i="1"/>
  <c r="Q39" i="1" s="1"/>
  <c r="N40" i="1"/>
  <c r="Q40" i="1" s="1"/>
  <c r="N41" i="1"/>
  <c r="Q41" i="1" s="1"/>
  <c r="N42" i="1"/>
  <c r="Q42" i="1" s="1"/>
  <c r="N43" i="1"/>
  <c r="Q43" i="1" s="1"/>
  <c r="N44" i="1"/>
  <c r="Q44" i="1" s="1"/>
  <c r="N45" i="1"/>
  <c r="Q45" i="1" s="1"/>
  <c r="N46" i="1"/>
  <c r="Q46" i="1" s="1"/>
  <c r="N47" i="1"/>
  <c r="Q47" i="1" s="1"/>
  <c r="N48" i="1"/>
  <c r="Q48" i="1" s="1"/>
  <c r="N49" i="1"/>
  <c r="Q49" i="1" s="1"/>
  <c r="N2" i="1"/>
  <c r="Q2" i="1" s="1"/>
  <c r="H22" i="1"/>
  <c r="K22" i="1" s="1"/>
  <c r="H23" i="1"/>
  <c r="K23" i="1" s="1"/>
  <c r="H24" i="1"/>
  <c r="K24" i="1" s="1"/>
  <c r="H25" i="1"/>
  <c r="K25" i="1" s="1"/>
  <c r="H26" i="1"/>
  <c r="K26" i="1" s="1"/>
  <c r="H27" i="1"/>
  <c r="K27" i="1" s="1"/>
  <c r="H28" i="1"/>
  <c r="K28" i="1" s="1"/>
  <c r="H29" i="1"/>
  <c r="K29" i="1" s="1"/>
  <c r="H30" i="1"/>
  <c r="K30" i="1" s="1"/>
  <c r="H31" i="1"/>
  <c r="K31" i="1" s="1"/>
  <c r="H32" i="1"/>
  <c r="K32" i="1" s="1"/>
  <c r="H33" i="1"/>
  <c r="K33" i="1" s="1"/>
  <c r="H34" i="1"/>
  <c r="K34" i="1" s="1"/>
  <c r="H35" i="1"/>
  <c r="K35" i="1" s="1"/>
  <c r="H36" i="1"/>
  <c r="K36" i="1" s="1"/>
  <c r="H37" i="1"/>
  <c r="K37" i="1" s="1"/>
  <c r="H38" i="1"/>
  <c r="K38" i="1" s="1"/>
  <c r="H39" i="1"/>
  <c r="K39" i="1" s="1"/>
  <c r="H40" i="1"/>
  <c r="K40" i="1" s="1"/>
  <c r="H41" i="1"/>
  <c r="K41" i="1" s="1"/>
  <c r="H42" i="1"/>
  <c r="K42" i="1" s="1"/>
  <c r="H43" i="1"/>
  <c r="K43" i="1" s="1"/>
  <c r="H44" i="1"/>
  <c r="K44" i="1" s="1"/>
  <c r="H45" i="1"/>
  <c r="K45" i="1" s="1"/>
  <c r="H46" i="1"/>
  <c r="K46" i="1" s="1"/>
  <c r="H47" i="1"/>
  <c r="K47" i="1" s="1"/>
  <c r="H48" i="1"/>
  <c r="K48" i="1" s="1"/>
  <c r="H49" i="1"/>
  <c r="K49" i="1" s="1"/>
  <c r="H2" i="1"/>
  <c r="K2" i="1" s="1"/>
  <c r="N3" i="1"/>
  <c r="Q3" i="1" s="1"/>
  <c r="N4" i="1"/>
  <c r="Q4" i="1" s="1"/>
  <c r="N5" i="1"/>
  <c r="Q5" i="1" s="1"/>
  <c r="N6" i="1"/>
  <c r="Q6" i="1" s="1"/>
  <c r="N7" i="1"/>
  <c r="Q7" i="1" s="1"/>
  <c r="N8" i="1"/>
  <c r="Q8" i="1" s="1"/>
  <c r="N9" i="1"/>
  <c r="Q9" i="1" s="1"/>
  <c r="N10" i="1"/>
  <c r="Q10" i="1" s="1"/>
  <c r="N11" i="1"/>
  <c r="Q11" i="1" s="1"/>
  <c r="N12" i="1"/>
  <c r="Q12" i="1" s="1"/>
  <c r="N13" i="1"/>
  <c r="Q13" i="1" s="1"/>
  <c r="N14" i="1"/>
  <c r="Q14" i="1" s="1"/>
  <c r="N15" i="1"/>
  <c r="Q15" i="1" s="1"/>
  <c r="N16" i="1"/>
  <c r="Q16" i="1" s="1"/>
  <c r="N17" i="1"/>
  <c r="Q17" i="1" s="1"/>
  <c r="N18" i="1"/>
  <c r="Q18" i="1" s="1"/>
  <c r="N19" i="1"/>
  <c r="Q19" i="1" s="1"/>
  <c r="N20" i="1"/>
  <c r="Q20" i="1" s="1"/>
  <c r="N21" i="1"/>
  <c r="Q21" i="1" s="1"/>
  <c r="AD33" i="1" l="1"/>
  <c r="AD31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2" i="1"/>
  <c r="AD34" i="1"/>
  <c r="AD35" i="1"/>
  <c r="AD36" i="1"/>
  <c r="AD37" i="1"/>
  <c r="AD38" i="1"/>
  <c r="AD39" i="1"/>
  <c r="AD40" i="1"/>
  <c r="AD41" i="1"/>
  <c r="AD43" i="1"/>
  <c r="AD44" i="1"/>
  <c r="AD45" i="1"/>
  <c r="AD46" i="1"/>
  <c r="AD47" i="1"/>
  <c r="AD48" i="1"/>
  <c r="AD49" i="1"/>
  <c r="AD2" i="1"/>
  <c r="AD42" i="1"/>
</calcChain>
</file>

<file path=xl/sharedStrings.xml><?xml version="1.0" encoding="utf-8"?>
<sst xmlns="http://schemas.openxmlformats.org/spreadsheetml/2006/main" count="35" uniqueCount="31">
  <si>
    <t>Plot No.</t>
  </si>
  <si>
    <t>Stand count_6ft(1.8288 m)</t>
  </si>
  <si>
    <t>Plant Spacing_m</t>
  </si>
  <si>
    <t>row_spacing_36inches</t>
  </si>
  <si>
    <t>plant_population_ha</t>
  </si>
  <si>
    <t>VT(grams)</t>
  </si>
  <si>
    <t>V6(grams)_2_plants</t>
  </si>
  <si>
    <t>V6_kg/ha</t>
  </si>
  <si>
    <t>V6_kg_perplant</t>
  </si>
  <si>
    <t>VT_kg_perplant</t>
  </si>
  <si>
    <t>VT_kg/ha</t>
  </si>
  <si>
    <t>Reproductive_R6_g_2plants</t>
  </si>
  <si>
    <t>Vegetative_R6_2Plants</t>
  </si>
  <si>
    <t>Vegetative_R6_kg_perplant</t>
  </si>
  <si>
    <t>Vegetative_R6_kg/ha</t>
  </si>
  <si>
    <t>Reproductive_R6_kg_perplants</t>
  </si>
  <si>
    <t>Reproductive_R6_kgha</t>
  </si>
  <si>
    <t>Total_R6_kgha</t>
  </si>
  <si>
    <t>Total_R6_PNU_kg/ha</t>
  </si>
  <si>
    <t>R6_reproductive_PNC_g/kg</t>
  </si>
  <si>
    <t>R6_reproductive_PNU_kg/ha</t>
  </si>
  <si>
    <t>R6_reproductive_N (%)</t>
  </si>
  <si>
    <t>Vegetative_R6_N (%)</t>
  </si>
  <si>
    <t>Vegetative_R6_PNU_kg/ha</t>
  </si>
  <si>
    <t>Vegetative_R6_PNC_g/ha</t>
  </si>
  <si>
    <t>VT_%N</t>
  </si>
  <si>
    <t>VT_PNC_g/kg</t>
  </si>
  <si>
    <t>VT_PNU_kg/ha</t>
  </si>
  <si>
    <t>V6_N (%)</t>
  </si>
  <si>
    <t>V6_PNC_g/kg</t>
  </si>
  <si>
    <t>V6_PNU_kg/ha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</si>
</sst>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9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Fill="1"/>
    <xf numFmtId="0" fontId="0" fillId="0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opLeftCell="Y1" workbookViewId="0">
      <selection activeCell="AE1" sqref="AE1:AE1048576"/>
    </sheetView>
  </sheetViews>
  <sheetFormatPr defaultRowHeight="14.5" x14ac:dyDescent="0.35"/>
  <cols>
    <col min="2" max="2" width="25.26953125" customWidth="1"/>
    <col min="4" max="4" width="14.7265625" customWidth="1"/>
    <col min="5" max="5" width="20.26953125" style="2" customWidth="1"/>
    <col min="6" max="6" width="21.90625" customWidth="1"/>
    <col min="7" max="7" width="21.54296875" customWidth="1"/>
    <col min="8" max="8" width="15.26953125" style="2" customWidth="1"/>
    <col min="9" max="9" width="15.26953125" style="8" customWidth="1"/>
    <col min="10" max="10" width="15.26953125" style="2" customWidth="1"/>
    <col min="11" max="11" width="15.26953125" style="10" customWidth="1"/>
    <col min="12" max="12" width="13" customWidth="1"/>
    <col min="13" max="13" width="15.1796875" customWidth="1"/>
    <col min="14" max="14" width="15.08984375" style="2" customWidth="1"/>
    <col min="15" max="15" width="15.08984375" style="8" customWidth="1"/>
    <col min="16" max="16" width="15.08984375" style="2" customWidth="1"/>
    <col min="17" max="17" width="15.08984375" style="10" customWidth="1"/>
    <col min="18" max="19" width="28.81640625" customWidth="1"/>
    <col min="20" max="20" width="28.81640625" style="2" customWidth="1"/>
    <col min="21" max="21" width="28.81640625" style="8" customWidth="1"/>
    <col min="22" max="22" width="28.81640625" style="2" customWidth="1"/>
    <col min="23" max="23" width="28.81640625" style="10" customWidth="1"/>
    <col min="24" max="24" width="27.08984375" customWidth="1"/>
    <col min="25" max="25" width="28.7265625" customWidth="1"/>
    <col min="26" max="26" width="26.7265625" style="2" customWidth="1"/>
    <col min="27" max="27" width="26.7265625" style="8" customWidth="1"/>
    <col min="28" max="28" width="26.7265625" style="2" customWidth="1"/>
    <col min="29" max="29" width="26.7265625" style="10" customWidth="1"/>
    <col min="30" max="30" width="21.453125" style="3" customWidth="1"/>
    <col min="31" max="31" width="25" customWidth="1"/>
  </cols>
  <sheetData>
    <row r="1" spans="1:31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6</v>
      </c>
      <c r="G1" s="4" t="s">
        <v>8</v>
      </c>
      <c r="H1" s="5" t="s">
        <v>7</v>
      </c>
      <c r="I1" s="7" t="s">
        <v>28</v>
      </c>
      <c r="J1" s="5" t="s">
        <v>29</v>
      </c>
      <c r="K1" s="9" t="s">
        <v>30</v>
      </c>
      <c r="L1" s="4" t="s">
        <v>5</v>
      </c>
      <c r="M1" s="4" t="s">
        <v>9</v>
      </c>
      <c r="N1" s="5" t="s">
        <v>10</v>
      </c>
      <c r="O1" s="7" t="s">
        <v>25</v>
      </c>
      <c r="P1" s="5" t="s">
        <v>26</v>
      </c>
      <c r="Q1" s="9" t="s">
        <v>27</v>
      </c>
      <c r="R1" s="4" t="s">
        <v>12</v>
      </c>
      <c r="S1" s="4" t="s">
        <v>13</v>
      </c>
      <c r="T1" s="5" t="s">
        <v>14</v>
      </c>
      <c r="U1" s="7" t="s">
        <v>22</v>
      </c>
      <c r="V1" s="5" t="s">
        <v>24</v>
      </c>
      <c r="W1" s="9" t="s">
        <v>23</v>
      </c>
      <c r="X1" s="4" t="s">
        <v>11</v>
      </c>
      <c r="Y1" s="4" t="s">
        <v>15</v>
      </c>
      <c r="Z1" s="5" t="s">
        <v>16</v>
      </c>
      <c r="AA1" s="7" t="s">
        <v>21</v>
      </c>
      <c r="AB1" s="5" t="s">
        <v>19</v>
      </c>
      <c r="AC1" s="9" t="s">
        <v>20</v>
      </c>
      <c r="AD1" s="6" t="s">
        <v>17</v>
      </c>
      <c r="AE1" s="4" t="s">
        <v>18</v>
      </c>
    </row>
    <row r="2" spans="1:31" x14ac:dyDescent="0.35">
      <c r="A2">
        <v>201</v>
      </c>
      <c r="B2">
        <v>14</v>
      </c>
      <c r="C2">
        <f>1.8288/B2</f>
        <v>0.13062857142857143</v>
      </c>
      <c r="D2">
        <v>0.91439999999999999</v>
      </c>
      <c r="E2" s="2">
        <f>10000/(C2*D2)</f>
        <v>83719.303241075628</v>
      </c>
      <c r="F2">
        <v>22</v>
      </c>
      <c r="G2" s="1">
        <f>F2/(2*1000)</f>
        <v>1.0999999999999999E-2</v>
      </c>
      <c r="H2" s="2">
        <f>E2*G2</f>
        <v>920.91233565183188</v>
      </c>
      <c r="I2" s="8">
        <v>2.21</v>
      </c>
      <c r="J2" s="2">
        <f>I2*10</f>
        <v>22.1</v>
      </c>
      <c r="K2" s="10">
        <f>(J2*H2)/1000</f>
        <v>20.352162617905488</v>
      </c>
      <c r="L2">
        <v>50.85</v>
      </c>
      <c r="M2">
        <f>L2/(2*1000)</f>
        <v>2.5425E-2</v>
      </c>
      <c r="N2" s="2">
        <f>M2*E2</f>
        <v>2128.5632849043477</v>
      </c>
      <c r="O2" s="8">
        <v>2.09</v>
      </c>
      <c r="P2" s="2">
        <f>O2*10</f>
        <v>20.9</v>
      </c>
      <c r="Q2" s="10">
        <f>(P2*N2)/1000</f>
        <v>44.486972654500867</v>
      </c>
      <c r="R2">
        <v>46.484999999999999</v>
      </c>
      <c r="S2">
        <f>R2/(2*1000)</f>
        <v>2.3242499999999999E-2</v>
      </c>
      <c r="T2" s="2">
        <f>S2*E2</f>
        <v>1945.8459055807002</v>
      </c>
      <c r="U2" s="8">
        <v>1.08</v>
      </c>
      <c r="V2" s="2">
        <f>U2*10</f>
        <v>10.8</v>
      </c>
      <c r="W2" s="10">
        <f>(V2*T2)/1000</f>
        <v>21.015135780271564</v>
      </c>
      <c r="X2">
        <v>73.3</v>
      </c>
      <c r="Y2">
        <f>X2/(2*1000)</f>
        <v>3.6650000000000002E-2</v>
      </c>
      <c r="Z2" s="2">
        <f>Y2*E2</f>
        <v>3068.3124637854221</v>
      </c>
      <c r="AA2">
        <v>0.89</v>
      </c>
      <c r="AB2" s="2">
        <f>AA2*10</f>
        <v>8.9</v>
      </c>
      <c r="AC2" s="10">
        <f>(AB2*Z2)/1000</f>
        <v>27.307980927690256</v>
      </c>
      <c r="AD2" s="3">
        <f>Z2+T2</f>
        <v>5014.1583693661223</v>
      </c>
      <c r="AE2">
        <f>AC2+W2</f>
        <v>48.323116707961816</v>
      </c>
    </row>
    <row r="3" spans="1:31" x14ac:dyDescent="0.35">
      <c r="A3">
        <v>202</v>
      </c>
      <c r="B3">
        <v>14.5</v>
      </c>
      <c r="C3">
        <f t="shared" ref="C3:C49" si="0">1.8288/B3</f>
        <v>0.12612413793103447</v>
      </c>
      <c r="D3">
        <v>0.91439999999999999</v>
      </c>
      <c r="E3" s="2">
        <f t="shared" ref="E3:E49" si="1">10000/(C3*D3)</f>
        <v>86709.278356828319</v>
      </c>
      <c r="F3">
        <v>57</v>
      </c>
      <c r="G3" s="1">
        <f t="shared" ref="G3:G49" si="2">F3/(2*1000)</f>
        <v>2.8500000000000001E-2</v>
      </c>
      <c r="H3" s="2">
        <f>E3*G3</f>
        <v>2471.2144331696072</v>
      </c>
      <c r="I3" s="8">
        <v>3.09</v>
      </c>
      <c r="J3" s="2">
        <f t="shared" ref="J3:J49" si="3">I3*10</f>
        <v>30.9</v>
      </c>
      <c r="K3" s="10">
        <f t="shared" ref="K3:K49" si="4">(J3*H3)/1000</f>
        <v>76.360525984940864</v>
      </c>
      <c r="L3">
        <v>54.7</v>
      </c>
      <c r="M3">
        <f t="shared" ref="M3:M49" si="5">L3/(2*1000)</f>
        <v>2.7350000000000003E-2</v>
      </c>
      <c r="N3" s="2">
        <f>M3*E3</f>
        <v>2371.498763059255</v>
      </c>
      <c r="O3" s="8">
        <v>2.04</v>
      </c>
      <c r="P3" s="2">
        <f t="shared" ref="P3:P49" si="6">O3*10</f>
        <v>20.399999999999999</v>
      </c>
      <c r="Q3" s="10">
        <f t="shared" ref="Q3:Q49" si="7">(P3*N3)/1000</f>
        <v>48.378574766408796</v>
      </c>
      <c r="R3">
        <v>45.29</v>
      </c>
      <c r="S3">
        <f t="shared" ref="S3:S49" si="8">R3/(2*1000)</f>
        <v>2.2644999999999998E-2</v>
      </c>
      <c r="T3" s="2">
        <f>S3*E3</f>
        <v>1963.5316083903772</v>
      </c>
      <c r="U3" s="8">
        <v>1.3</v>
      </c>
      <c r="V3" s="2">
        <f t="shared" ref="V3:V49" si="9">U3*10</f>
        <v>13</v>
      </c>
      <c r="W3" s="10">
        <f t="shared" ref="W3:W49" si="10">(V3*T3)/1000</f>
        <v>25.525910909074906</v>
      </c>
      <c r="X3">
        <v>94.09</v>
      </c>
      <c r="Y3">
        <f t="shared" ref="Y3:Y49" si="11">X3/(2*1000)</f>
        <v>4.7045000000000003E-2</v>
      </c>
      <c r="Z3" s="2">
        <f>Y3*E3</f>
        <v>4079.2380002969885</v>
      </c>
      <c r="AA3">
        <v>1.3</v>
      </c>
      <c r="AB3" s="2">
        <f t="shared" ref="AB3:AB49" si="12">AA3*10</f>
        <v>13</v>
      </c>
      <c r="AC3" s="10">
        <f t="shared" ref="AC3:AC49" si="13">(AB3*Z3)/1000</f>
        <v>53.030094003860853</v>
      </c>
      <c r="AD3" s="3">
        <f t="shared" ref="AD3:AD49" si="14">Z3+T3</f>
        <v>6042.7696086873657</v>
      </c>
      <c r="AE3">
        <f t="shared" ref="AE3:AE49" si="15">AC3+W3</f>
        <v>78.556004912935762</v>
      </c>
    </row>
    <row r="4" spans="1:31" x14ac:dyDescent="0.35">
      <c r="A4">
        <v>203</v>
      </c>
      <c r="B4">
        <v>15</v>
      </c>
      <c r="C4">
        <f t="shared" si="0"/>
        <v>0.12192</v>
      </c>
      <c r="D4">
        <v>0.91439999999999999</v>
      </c>
      <c r="E4" s="2">
        <f t="shared" si="1"/>
        <v>89699.253472581011</v>
      </c>
      <c r="F4">
        <v>63.3</v>
      </c>
      <c r="G4" s="1">
        <f t="shared" si="2"/>
        <v>3.1649999999999998E-2</v>
      </c>
      <c r="H4" s="2">
        <f>E4*G4</f>
        <v>2838.9813724071887</v>
      </c>
      <c r="I4" s="8">
        <v>2.9</v>
      </c>
      <c r="J4" s="2">
        <f t="shared" si="3"/>
        <v>29</v>
      </c>
      <c r="K4" s="10">
        <f t="shared" si="4"/>
        <v>82.33045979980848</v>
      </c>
      <c r="L4">
        <v>79.625</v>
      </c>
      <c r="M4">
        <f t="shared" si="5"/>
        <v>3.9812500000000001E-2</v>
      </c>
      <c r="N4" s="2">
        <f>M4*E4</f>
        <v>3571.1515288771316</v>
      </c>
      <c r="O4" s="8">
        <v>2.54</v>
      </c>
      <c r="P4" s="2">
        <f t="shared" si="6"/>
        <v>25.4</v>
      </c>
      <c r="Q4" s="10">
        <f t="shared" si="7"/>
        <v>90.707248833479142</v>
      </c>
      <c r="R4">
        <v>70</v>
      </c>
      <c r="S4">
        <f t="shared" si="8"/>
        <v>3.5000000000000003E-2</v>
      </c>
      <c r="T4" s="2">
        <f>S4*E4</f>
        <v>3139.4738715403355</v>
      </c>
      <c r="U4" s="8">
        <v>1.41</v>
      </c>
      <c r="V4" s="2">
        <f t="shared" si="9"/>
        <v>14.1</v>
      </c>
      <c r="W4" s="10">
        <f t="shared" si="10"/>
        <v>44.266581588718729</v>
      </c>
      <c r="X4">
        <v>128.32</v>
      </c>
      <c r="Y4">
        <f t="shared" si="11"/>
        <v>6.4159999999999995E-2</v>
      </c>
      <c r="Z4" s="2">
        <f>Y4*E4</f>
        <v>5755.1041028007976</v>
      </c>
      <c r="AA4">
        <v>1.63</v>
      </c>
      <c r="AB4" s="2">
        <f t="shared" si="12"/>
        <v>16.299999999999997</v>
      </c>
      <c r="AC4" s="10">
        <f t="shared" si="13"/>
        <v>93.808196875652982</v>
      </c>
      <c r="AD4" s="3">
        <f t="shared" si="14"/>
        <v>8894.5779743411331</v>
      </c>
      <c r="AE4">
        <f t="shared" si="15"/>
        <v>138.07477846437172</v>
      </c>
    </row>
    <row r="5" spans="1:31" x14ac:dyDescent="0.35">
      <c r="A5">
        <v>204</v>
      </c>
      <c r="B5">
        <v>15</v>
      </c>
      <c r="C5">
        <f t="shared" si="0"/>
        <v>0.12192</v>
      </c>
      <c r="D5">
        <v>0.91439999999999999</v>
      </c>
      <c r="E5" s="2">
        <f t="shared" si="1"/>
        <v>89699.253472581011</v>
      </c>
      <c r="F5">
        <v>51</v>
      </c>
      <c r="G5" s="1">
        <f t="shared" si="2"/>
        <v>2.5499999999999998E-2</v>
      </c>
      <c r="H5" s="2">
        <f>E5*G5</f>
        <v>2287.3309635508158</v>
      </c>
      <c r="I5" s="8">
        <v>2.56</v>
      </c>
      <c r="J5" s="2">
        <f t="shared" si="3"/>
        <v>25.6</v>
      </c>
      <c r="K5" s="10">
        <f t="shared" si="4"/>
        <v>58.555672666900882</v>
      </c>
      <c r="L5">
        <v>75</v>
      </c>
      <c r="M5">
        <f t="shared" si="5"/>
        <v>3.7499999999999999E-2</v>
      </c>
      <c r="N5" s="2">
        <f>M5*E5</f>
        <v>3363.7220052217876</v>
      </c>
      <c r="O5" s="8">
        <v>2.5099999999999998</v>
      </c>
      <c r="P5" s="2">
        <f t="shared" si="6"/>
        <v>25.099999999999998</v>
      </c>
      <c r="Q5" s="10">
        <f t="shared" si="7"/>
        <v>84.42942233106686</v>
      </c>
      <c r="R5">
        <v>105.33</v>
      </c>
      <c r="S5">
        <f t="shared" si="8"/>
        <v>5.2664999999999997E-2</v>
      </c>
      <c r="T5" s="2">
        <f>S5*E5</f>
        <v>4724.0111841334783</v>
      </c>
      <c r="U5" s="8">
        <v>1.33</v>
      </c>
      <c r="V5" s="2">
        <f t="shared" si="9"/>
        <v>13.3</v>
      </c>
      <c r="W5" s="10">
        <f t="shared" si="10"/>
        <v>62.829348748975264</v>
      </c>
      <c r="X5">
        <v>170.60499999999999</v>
      </c>
      <c r="Y5">
        <f t="shared" si="11"/>
        <v>8.5302499999999989E-2</v>
      </c>
      <c r="Z5" s="2">
        <f>Y5*E5</f>
        <v>7651.5705693448408</v>
      </c>
      <c r="AA5">
        <v>1.44</v>
      </c>
      <c r="AB5" s="2">
        <f t="shared" si="12"/>
        <v>14.399999999999999</v>
      </c>
      <c r="AC5" s="10">
        <f t="shared" si="13"/>
        <v>110.1826161985657</v>
      </c>
      <c r="AD5" s="3">
        <f t="shared" si="14"/>
        <v>12375.58175347832</v>
      </c>
      <c r="AE5">
        <f t="shared" si="15"/>
        <v>173.01196494754095</v>
      </c>
    </row>
    <row r="6" spans="1:31" x14ac:dyDescent="0.35">
      <c r="A6">
        <v>205</v>
      </c>
      <c r="B6">
        <v>13</v>
      </c>
      <c r="C6">
        <f t="shared" si="0"/>
        <v>0.14067692307692309</v>
      </c>
      <c r="D6">
        <v>0.91439999999999999</v>
      </c>
      <c r="E6" s="2">
        <f t="shared" si="1"/>
        <v>77739.353009570215</v>
      </c>
      <c r="F6">
        <v>78.8</v>
      </c>
      <c r="G6" s="1">
        <f t="shared" si="2"/>
        <v>3.9399999999999998E-2</v>
      </c>
      <c r="H6" s="2">
        <f>E6*G6</f>
        <v>3062.9305085770661</v>
      </c>
      <c r="I6" s="8">
        <v>2.27</v>
      </c>
      <c r="J6" s="2">
        <f t="shared" si="3"/>
        <v>22.7</v>
      </c>
      <c r="K6" s="10">
        <f t="shared" si="4"/>
        <v>69.528522544699399</v>
      </c>
      <c r="L6">
        <v>144.19999999999999</v>
      </c>
      <c r="M6">
        <f t="shared" si="5"/>
        <v>7.2099999999999997E-2</v>
      </c>
      <c r="N6" s="2">
        <f>M6*E6</f>
        <v>5605.0073519900125</v>
      </c>
      <c r="O6" s="8">
        <v>2.16</v>
      </c>
      <c r="P6" s="2">
        <f t="shared" si="6"/>
        <v>21.6</v>
      </c>
      <c r="Q6" s="10">
        <f t="shared" si="7"/>
        <v>121.06815880298429</v>
      </c>
      <c r="R6">
        <v>135</v>
      </c>
      <c r="S6">
        <f t="shared" si="8"/>
        <v>6.7500000000000004E-2</v>
      </c>
      <c r="T6" s="2">
        <f>S6*E6</f>
        <v>5247.4063281459903</v>
      </c>
      <c r="U6" s="8">
        <v>1.0900000000000001</v>
      </c>
      <c r="V6" s="2">
        <f t="shared" si="9"/>
        <v>10.9</v>
      </c>
      <c r="W6" s="10">
        <f t="shared" si="10"/>
        <v>57.196728976791299</v>
      </c>
      <c r="X6">
        <v>179.91499999999999</v>
      </c>
      <c r="Y6">
        <f t="shared" si="11"/>
        <v>8.9957499999999996E-2</v>
      </c>
      <c r="Z6" s="2">
        <f>Y6*E6</f>
        <v>6993.2378483584125</v>
      </c>
      <c r="AA6">
        <v>1.25</v>
      </c>
      <c r="AB6" s="2">
        <f t="shared" si="12"/>
        <v>12.5</v>
      </c>
      <c r="AC6" s="10">
        <f t="shared" si="13"/>
        <v>87.415473104480157</v>
      </c>
      <c r="AD6" s="3">
        <f t="shared" si="14"/>
        <v>12240.644176504404</v>
      </c>
      <c r="AE6">
        <f t="shared" si="15"/>
        <v>144.61220208127145</v>
      </c>
    </row>
    <row r="7" spans="1:31" x14ac:dyDescent="0.35">
      <c r="A7">
        <v>206</v>
      </c>
      <c r="B7">
        <v>14</v>
      </c>
      <c r="C7">
        <f t="shared" si="0"/>
        <v>0.13062857142857143</v>
      </c>
      <c r="D7">
        <v>0.91439999999999999</v>
      </c>
      <c r="E7" s="2">
        <f t="shared" si="1"/>
        <v>83719.303241075628</v>
      </c>
      <c r="F7">
        <v>31</v>
      </c>
      <c r="G7" s="1">
        <f t="shared" si="2"/>
        <v>1.55E-2</v>
      </c>
      <c r="H7" s="2">
        <f>E7*G7</f>
        <v>1297.6492002366722</v>
      </c>
      <c r="I7" s="8">
        <v>2.46</v>
      </c>
      <c r="J7" s="2">
        <f t="shared" si="3"/>
        <v>24.6</v>
      </c>
      <c r="K7" s="10">
        <f t="shared" si="4"/>
        <v>31.92217032582214</v>
      </c>
      <c r="L7">
        <v>62.5</v>
      </c>
      <c r="M7">
        <f t="shared" si="5"/>
        <v>3.125E-2</v>
      </c>
      <c r="N7" s="2">
        <f>M7*E7</f>
        <v>2616.2282262836134</v>
      </c>
      <c r="O7" s="8">
        <v>0.92</v>
      </c>
      <c r="P7" s="2">
        <f t="shared" si="6"/>
        <v>9.2000000000000011</v>
      </c>
      <c r="Q7" s="10">
        <f t="shared" si="7"/>
        <v>24.069299681809248</v>
      </c>
      <c r="R7">
        <v>67.834999999999994</v>
      </c>
      <c r="S7">
        <f t="shared" si="8"/>
        <v>3.3917499999999996E-2</v>
      </c>
      <c r="T7" s="2">
        <f>S7*E7</f>
        <v>2839.5494676791823</v>
      </c>
      <c r="U7" s="8">
        <v>0.98</v>
      </c>
      <c r="V7" s="2">
        <f t="shared" si="9"/>
        <v>9.8000000000000007</v>
      </c>
      <c r="W7" s="10">
        <f t="shared" si="10"/>
        <v>27.82758478325599</v>
      </c>
      <c r="X7">
        <v>113.32</v>
      </c>
      <c r="Y7">
        <f t="shared" si="11"/>
        <v>5.6659999999999995E-2</v>
      </c>
      <c r="Z7" s="2">
        <f>Y7*E7</f>
        <v>4743.535721639345</v>
      </c>
      <c r="AA7">
        <v>1.02</v>
      </c>
      <c r="AB7" s="2">
        <f t="shared" si="12"/>
        <v>10.199999999999999</v>
      </c>
      <c r="AC7" s="10">
        <f t="shared" si="13"/>
        <v>48.384064360721311</v>
      </c>
      <c r="AD7" s="3">
        <f t="shared" si="14"/>
        <v>7583.0851893185272</v>
      </c>
      <c r="AE7">
        <f t="shared" si="15"/>
        <v>76.211649143977297</v>
      </c>
    </row>
    <row r="8" spans="1:31" x14ac:dyDescent="0.35">
      <c r="A8">
        <v>207</v>
      </c>
      <c r="B8">
        <v>14</v>
      </c>
      <c r="C8">
        <f t="shared" si="0"/>
        <v>0.13062857142857143</v>
      </c>
      <c r="D8">
        <v>0.91439999999999999</v>
      </c>
      <c r="E8" s="2">
        <f t="shared" si="1"/>
        <v>83719.303241075628</v>
      </c>
      <c r="F8">
        <v>81.099999999999994</v>
      </c>
      <c r="G8" s="1">
        <f t="shared" si="2"/>
        <v>4.0549999999999996E-2</v>
      </c>
      <c r="H8" s="2">
        <f>E8*G8</f>
        <v>3394.8177464256164</v>
      </c>
      <c r="I8" s="8">
        <v>2.73</v>
      </c>
      <c r="J8" s="2">
        <f t="shared" si="3"/>
        <v>27.3</v>
      </c>
      <c r="K8" s="10">
        <f t="shared" si="4"/>
        <v>92.67852447741933</v>
      </c>
      <c r="L8">
        <v>110.85</v>
      </c>
      <c r="M8">
        <f t="shared" si="5"/>
        <v>5.5424999999999995E-2</v>
      </c>
      <c r="N8" s="2">
        <f>M8*E8</f>
        <v>4640.1423821366161</v>
      </c>
      <c r="O8" s="8">
        <v>1.52</v>
      </c>
      <c r="P8" s="2">
        <f t="shared" si="6"/>
        <v>15.2</v>
      </c>
      <c r="Q8" s="10">
        <f t="shared" si="7"/>
        <v>70.530164208476563</v>
      </c>
      <c r="R8">
        <v>99.995000000000005</v>
      </c>
      <c r="S8">
        <f t="shared" si="8"/>
        <v>4.99975E-2</v>
      </c>
      <c r="T8" s="2">
        <f>S8*E8</f>
        <v>4185.755863795679</v>
      </c>
      <c r="U8" s="8">
        <v>1.24</v>
      </c>
      <c r="V8" s="2">
        <f t="shared" si="9"/>
        <v>12.4</v>
      </c>
      <c r="W8" s="10">
        <f t="shared" si="10"/>
        <v>51.903372711066417</v>
      </c>
      <c r="X8">
        <v>182.125</v>
      </c>
      <c r="Y8">
        <f t="shared" si="11"/>
        <v>9.1062500000000005E-2</v>
      </c>
      <c r="Z8" s="2">
        <f>Y8*E8</f>
        <v>7623.68905139045</v>
      </c>
      <c r="AA8">
        <v>1.08</v>
      </c>
      <c r="AB8" s="2">
        <f t="shared" si="12"/>
        <v>10.8</v>
      </c>
      <c r="AC8" s="10">
        <f t="shared" si="13"/>
        <v>82.335841755016872</v>
      </c>
      <c r="AD8" s="3">
        <f t="shared" si="14"/>
        <v>11809.44491518613</v>
      </c>
      <c r="AE8">
        <f t="shared" si="15"/>
        <v>134.2392144660833</v>
      </c>
    </row>
    <row r="9" spans="1:31" x14ac:dyDescent="0.35">
      <c r="A9">
        <v>208</v>
      </c>
      <c r="B9">
        <v>15</v>
      </c>
      <c r="C9">
        <f t="shared" si="0"/>
        <v>0.12192</v>
      </c>
      <c r="D9">
        <v>0.91439999999999999</v>
      </c>
      <c r="E9" s="2">
        <f t="shared" si="1"/>
        <v>89699.253472581011</v>
      </c>
      <c r="F9">
        <v>100.7</v>
      </c>
      <c r="G9" s="1">
        <f t="shared" si="2"/>
        <v>5.0349999999999999E-2</v>
      </c>
      <c r="H9" s="2">
        <f>E9*G9</f>
        <v>4516.3574123444541</v>
      </c>
      <c r="I9" s="8">
        <v>2.8</v>
      </c>
      <c r="J9" s="2">
        <f t="shared" si="3"/>
        <v>28</v>
      </c>
      <c r="K9" s="10">
        <f t="shared" si="4"/>
        <v>126.4580075456447</v>
      </c>
      <c r="L9">
        <v>105.65</v>
      </c>
      <c r="M9">
        <f t="shared" si="5"/>
        <v>5.2825000000000004E-2</v>
      </c>
      <c r="N9" s="2">
        <f>M9*E9</f>
        <v>4738.3630646890924</v>
      </c>
      <c r="O9" s="8">
        <v>2.08</v>
      </c>
      <c r="P9" s="2">
        <f t="shared" si="6"/>
        <v>20.8</v>
      </c>
      <c r="Q9" s="10">
        <f t="shared" si="7"/>
        <v>98.557951745533117</v>
      </c>
      <c r="R9">
        <v>98.84</v>
      </c>
      <c r="S9">
        <f t="shared" si="8"/>
        <v>4.9419999999999999E-2</v>
      </c>
      <c r="T9" s="2">
        <f>S9*E9</f>
        <v>4432.9371066149533</v>
      </c>
      <c r="U9" s="8">
        <v>0.83</v>
      </c>
      <c r="V9" s="2">
        <f t="shared" si="9"/>
        <v>8.2999999999999989</v>
      </c>
      <c r="W9" s="10">
        <f t="shared" si="10"/>
        <v>36.793377984904112</v>
      </c>
      <c r="X9">
        <v>167.4</v>
      </c>
      <c r="Y9">
        <f t="shared" si="11"/>
        <v>8.3699999999999997E-2</v>
      </c>
      <c r="Z9" s="2">
        <f>Y9*E9</f>
        <v>7507.8275156550308</v>
      </c>
      <c r="AA9">
        <v>1.1499999999999999</v>
      </c>
      <c r="AB9" s="2">
        <f t="shared" si="12"/>
        <v>11.5</v>
      </c>
      <c r="AC9" s="10">
        <f t="shared" si="13"/>
        <v>86.340016430032847</v>
      </c>
      <c r="AD9" s="3">
        <f t="shared" si="14"/>
        <v>11940.764622269984</v>
      </c>
      <c r="AE9">
        <f t="shared" si="15"/>
        <v>123.13339441493696</v>
      </c>
    </row>
    <row r="10" spans="1:31" x14ac:dyDescent="0.35">
      <c r="A10">
        <v>209</v>
      </c>
      <c r="B10">
        <v>14</v>
      </c>
      <c r="C10">
        <f t="shared" si="0"/>
        <v>0.13062857142857143</v>
      </c>
      <c r="D10">
        <v>0.91439999999999999</v>
      </c>
      <c r="E10" s="2">
        <f t="shared" si="1"/>
        <v>83719.303241075628</v>
      </c>
      <c r="F10">
        <v>91.8</v>
      </c>
      <c r="G10" s="1">
        <f t="shared" si="2"/>
        <v>4.5899999999999996E-2</v>
      </c>
      <c r="H10" s="2">
        <f>E10*G10</f>
        <v>3842.7160187653708</v>
      </c>
      <c r="I10" s="8">
        <v>2.92</v>
      </c>
      <c r="J10" s="2">
        <f t="shared" si="3"/>
        <v>29.2</v>
      </c>
      <c r="K10" s="10">
        <f t="shared" si="4"/>
        <v>112.20730774794883</v>
      </c>
      <c r="L10">
        <v>139.05000000000001</v>
      </c>
      <c r="M10">
        <f t="shared" si="5"/>
        <v>6.9525000000000003E-2</v>
      </c>
      <c r="N10" s="2">
        <f>M10*E10</f>
        <v>5820.584557835783</v>
      </c>
      <c r="O10" s="8">
        <v>2.78</v>
      </c>
      <c r="P10" s="2">
        <f t="shared" si="6"/>
        <v>27.799999999999997</v>
      </c>
      <c r="Q10" s="10">
        <f t="shared" si="7"/>
        <v>161.81225070783475</v>
      </c>
      <c r="R10">
        <v>117.125</v>
      </c>
      <c r="S10">
        <f t="shared" si="8"/>
        <v>5.8562500000000003E-2</v>
      </c>
      <c r="T10" s="2">
        <f>S10*E10</f>
        <v>4902.8116960554917</v>
      </c>
      <c r="U10" s="8">
        <v>1.31</v>
      </c>
      <c r="V10" s="2">
        <f t="shared" si="9"/>
        <v>13.100000000000001</v>
      </c>
      <c r="W10" s="10">
        <f t="shared" si="10"/>
        <v>64.226833218326945</v>
      </c>
      <c r="X10">
        <v>212.8</v>
      </c>
      <c r="Y10">
        <f t="shared" si="11"/>
        <v>0.10640000000000001</v>
      </c>
      <c r="Z10" s="2">
        <f>Y10*E10</f>
        <v>8907.7338648504483</v>
      </c>
      <c r="AA10">
        <v>1.26</v>
      </c>
      <c r="AB10" s="2">
        <f t="shared" si="12"/>
        <v>12.6</v>
      </c>
      <c r="AC10" s="10">
        <f t="shared" si="13"/>
        <v>112.23744669711564</v>
      </c>
      <c r="AD10" s="3">
        <f t="shared" si="14"/>
        <v>13810.545560905939</v>
      </c>
      <c r="AE10">
        <f t="shared" si="15"/>
        <v>176.4642799154426</v>
      </c>
    </row>
    <row r="11" spans="1:31" x14ac:dyDescent="0.35">
      <c r="A11">
        <v>210</v>
      </c>
      <c r="B11">
        <v>13.5</v>
      </c>
      <c r="C11">
        <f t="shared" si="0"/>
        <v>0.13546666666666665</v>
      </c>
      <c r="D11">
        <v>0.91439999999999999</v>
      </c>
      <c r="E11" s="2">
        <f t="shared" si="1"/>
        <v>80729.328125322922</v>
      </c>
      <c r="F11">
        <v>88.7</v>
      </c>
      <c r="G11" s="1">
        <f t="shared" si="2"/>
        <v>4.4350000000000001E-2</v>
      </c>
      <c r="H11" s="2">
        <f>E11*G11</f>
        <v>3580.3457023580718</v>
      </c>
      <c r="I11" s="8">
        <v>2.75</v>
      </c>
      <c r="J11" s="2">
        <f t="shared" si="3"/>
        <v>27.5</v>
      </c>
      <c r="K11" s="10">
        <f t="shared" si="4"/>
        <v>98.459506814846975</v>
      </c>
      <c r="L11">
        <v>115.5</v>
      </c>
      <c r="M11">
        <f t="shared" si="5"/>
        <v>5.7750000000000003E-2</v>
      </c>
      <c r="N11" s="2">
        <f>M11*E11</f>
        <v>4662.1186992373987</v>
      </c>
      <c r="O11" s="8">
        <v>2.36</v>
      </c>
      <c r="P11" s="2">
        <f t="shared" si="6"/>
        <v>23.599999999999998</v>
      </c>
      <c r="Q11" s="10">
        <f t="shared" si="7"/>
        <v>110.0260013020026</v>
      </c>
      <c r="R11">
        <v>82.765000000000001</v>
      </c>
      <c r="S11">
        <f t="shared" si="8"/>
        <v>4.1382500000000003E-2</v>
      </c>
      <c r="T11" s="2">
        <f>S11*E11</f>
        <v>3340.7814211461759</v>
      </c>
      <c r="U11" s="8">
        <v>0.98</v>
      </c>
      <c r="V11" s="2">
        <f t="shared" si="9"/>
        <v>9.8000000000000007</v>
      </c>
      <c r="W11" s="10">
        <f t="shared" si="10"/>
        <v>32.739657927232528</v>
      </c>
      <c r="X11">
        <v>151.63499999999999</v>
      </c>
      <c r="Y11">
        <f t="shared" si="11"/>
        <v>7.5817499999999996E-2</v>
      </c>
      <c r="Z11" s="2">
        <f>Y11*E11</f>
        <v>6120.6958351416706</v>
      </c>
      <c r="AA11">
        <v>1.29</v>
      </c>
      <c r="AB11" s="2">
        <f t="shared" si="12"/>
        <v>12.9</v>
      </c>
      <c r="AC11" s="10">
        <f t="shared" si="13"/>
        <v>78.956976273327555</v>
      </c>
      <c r="AD11" s="3">
        <f t="shared" si="14"/>
        <v>9461.4772562878461</v>
      </c>
      <c r="AE11">
        <f t="shared" si="15"/>
        <v>111.69663420056008</v>
      </c>
    </row>
    <row r="12" spans="1:31" x14ac:dyDescent="0.35">
      <c r="A12">
        <v>211</v>
      </c>
      <c r="B12">
        <v>15</v>
      </c>
      <c r="C12">
        <f t="shared" si="0"/>
        <v>0.12192</v>
      </c>
      <c r="D12">
        <v>0.91439999999999999</v>
      </c>
      <c r="E12" s="2">
        <f t="shared" si="1"/>
        <v>89699.253472581011</v>
      </c>
      <c r="F12">
        <v>25.2</v>
      </c>
      <c r="G12" s="1">
        <f t="shared" si="2"/>
        <v>1.26E-2</v>
      </c>
      <c r="H12" s="2">
        <f>E12*G12</f>
        <v>1130.2105937545207</v>
      </c>
      <c r="I12" s="8">
        <v>2.5</v>
      </c>
      <c r="J12" s="2">
        <f t="shared" si="3"/>
        <v>25</v>
      </c>
      <c r="K12" s="10">
        <f t="shared" si="4"/>
        <v>28.255264843863017</v>
      </c>
      <c r="L12">
        <v>64.849999999999994</v>
      </c>
      <c r="M12">
        <f t="shared" si="5"/>
        <v>3.2424999999999995E-2</v>
      </c>
      <c r="N12" s="2">
        <f>M12*E12</f>
        <v>2908.4982938484391</v>
      </c>
      <c r="O12" s="8">
        <v>2.16</v>
      </c>
      <c r="P12" s="2">
        <f t="shared" si="6"/>
        <v>21.6</v>
      </c>
      <c r="Q12" s="10">
        <f t="shared" si="7"/>
        <v>62.823563147126286</v>
      </c>
      <c r="R12">
        <v>53.4</v>
      </c>
      <c r="S12">
        <f t="shared" si="8"/>
        <v>2.6699999999999998E-2</v>
      </c>
      <c r="T12" s="2">
        <f>S12*E12</f>
        <v>2394.970067717913</v>
      </c>
      <c r="U12" s="8">
        <v>0.71</v>
      </c>
      <c r="V12" s="2">
        <f t="shared" si="9"/>
        <v>7.1</v>
      </c>
      <c r="W12" s="10">
        <f t="shared" si="10"/>
        <v>17.004287480797181</v>
      </c>
      <c r="X12">
        <v>83.5</v>
      </c>
      <c r="Y12">
        <f t="shared" si="11"/>
        <v>4.1750000000000002E-2</v>
      </c>
      <c r="Z12" s="2">
        <f>Y12*E12</f>
        <v>3744.9438324802572</v>
      </c>
      <c r="AA12">
        <v>0.92</v>
      </c>
      <c r="AB12" s="2">
        <f t="shared" si="12"/>
        <v>9.2000000000000011</v>
      </c>
      <c r="AC12" s="10">
        <f t="shared" si="13"/>
        <v>34.453483258818373</v>
      </c>
      <c r="AD12" s="3">
        <f t="shared" si="14"/>
        <v>6139.9139001981703</v>
      </c>
      <c r="AE12">
        <f t="shared" si="15"/>
        <v>51.457770739615555</v>
      </c>
    </row>
    <row r="13" spans="1:31" x14ac:dyDescent="0.35">
      <c r="A13">
        <v>212</v>
      </c>
      <c r="B13">
        <v>15</v>
      </c>
      <c r="C13">
        <f t="shared" si="0"/>
        <v>0.12192</v>
      </c>
      <c r="D13">
        <v>0.91439999999999999</v>
      </c>
      <c r="E13" s="2">
        <f t="shared" si="1"/>
        <v>89699.253472581011</v>
      </c>
      <c r="F13">
        <v>101.4</v>
      </c>
      <c r="G13" s="1">
        <f t="shared" si="2"/>
        <v>5.0700000000000002E-2</v>
      </c>
      <c r="H13" s="2">
        <f>E13*G13</f>
        <v>4547.7521510598572</v>
      </c>
      <c r="I13" s="8">
        <v>2.67</v>
      </c>
      <c r="J13" s="2">
        <f t="shared" si="3"/>
        <v>26.7</v>
      </c>
      <c r="K13" s="10">
        <f t="shared" si="4"/>
        <v>121.42498243329818</v>
      </c>
      <c r="L13">
        <v>123.85</v>
      </c>
      <c r="M13">
        <f t="shared" si="5"/>
        <v>6.1924999999999994E-2</v>
      </c>
      <c r="N13" s="2">
        <f>M13*E13</f>
        <v>5554.6262712895787</v>
      </c>
      <c r="O13" s="8">
        <v>1.79</v>
      </c>
      <c r="P13" s="2">
        <f t="shared" si="6"/>
        <v>17.899999999999999</v>
      </c>
      <c r="Q13" s="10">
        <f t="shared" si="7"/>
        <v>99.427810256083447</v>
      </c>
      <c r="R13">
        <v>137.72999999999999</v>
      </c>
      <c r="S13">
        <f t="shared" si="8"/>
        <v>6.8864999999999996E-2</v>
      </c>
      <c r="T13" s="2">
        <f>S13*E13</f>
        <v>6177.1390903892907</v>
      </c>
      <c r="U13" s="8">
        <v>0.86</v>
      </c>
      <c r="V13" s="2">
        <f t="shared" si="9"/>
        <v>8.6</v>
      </c>
      <c r="W13" s="10">
        <f t="shared" si="10"/>
        <v>53.123396177347892</v>
      </c>
      <c r="X13">
        <v>188</v>
      </c>
      <c r="Y13">
        <f t="shared" si="11"/>
        <v>9.4E-2</v>
      </c>
      <c r="Z13" s="2">
        <f>Y13*E13</f>
        <v>8431.7298264226156</v>
      </c>
      <c r="AA13">
        <v>1.39</v>
      </c>
      <c r="AB13" s="2">
        <f t="shared" si="12"/>
        <v>13.899999999999999</v>
      </c>
      <c r="AC13" s="10">
        <f t="shared" si="13"/>
        <v>117.20104458727434</v>
      </c>
      <c r="AD13" s="3">
        <f t="shared" si="14"/>
        <v>14608.868916811905</v>
      </c>
      <c r="AE13">
        <f t="shared" si="15"/>
        <v>170.32444076462224</v>
      </c>
    </row>
    <row r="14" spans="1:31" x14ac:dyDescent="0.35">
      <c r="A14">
        <v>213</v>
      </c>
      <c r="B14">
        <v>14.5</v>
      </c>
      <c r="C14">
        <f t="shared" si="0"/>
        <v>0.12612413793103447</v>
      </c>
      <c r="D14">
        <v>0.91439999999999999</v>
      </c>
      <c r="E14" s="2">
        <f t="shared" si="1"/>
        <v>86709.278356828319</v>
      </c>
      <c r="F14">
        <v>48.5</v>
      </c>
      <c r="G14" s="1">
        <f t="shared" si="2"/>
        <v>2.4250000000000001E-2</v>
      </c>
      <c r="H14" s="2">
        <f>E14*G14</f>
        <v>2102.7000001530869</v>
      </c>
      <c r="I14" s="8">
        <v>2.42</v>
      </c>
      <c r="J14" s="2">
        <f t="shared" si="3"/>
        <v>24.2</v>
      </c>
      <c r="K14" s="10">
        <f t="shared" si="4"/>
        <v>50.885340003704705</v>
      </c>
      <c r="L14">
        <v>67.45</v>
      </c>
      <c r="M14">
        <f t="shared" si="5"/>
        <v>3.3724999999999998E-2</v>
      </c>
      <c r="N14" s="2">
        <f>M14*E14</f>
        <v>2924.2704125840351</v>
      </c>
      <c r="O14" s="8">
        <v>2.69</v>
      </c>
      <c r="P14" s="2">
        <f t="shared" si="6"/>
        <v>26.9</v>
      </c>
      <c r="Q14" s="10">
        <f t="shared" si="7"/>
        <v>78.662874098510542</v>
      </c>
      <c r="R14">
        <v>71.325000000000003</v>
      </c>
      <c r="S14">
        <f t="shared" si="8"/>
        <v>3.56625E-2</v>
      </c>
      <c r="T14" s="2">
        <f>S14*E14</f>
        <v>3092.2696394003901</v>
      </c>
      <c r="U14" s="8">
        <v>0.87</v>
      </c>
      <c r="V14" s="2">
        <f t="shared" si="9"/>
        <v>8.6999999999999993</v>
      </c>
      <c r="W14" s="10">
        <f t="shared" si="10"/>
        <v>26.902745862783391</v>
      </c>
      <c r="X14">
        <v>119.35</v>
      </c>
      <c r="Y14">
        <f t="shared" si="11"/>
        <v>5.9674999999999999E-2</v>
      </c>
      <c r="Z14" s="2">
        <f>Y14*E14</f>
        <v>5174.37618594373</v>
      </c>
      <c r="AA14">
        <v>1.22</v>
      </c>
      <c r="AB14" s="2">
        <f t="shared" si="12"/>
        <v>12.2</v>
      </c>
      <c r="AC14" s="10">
        <f t="shared" si="13"/>
        <v>63.127389468513499</v>
      </c>
      <c r="AD14" s="3">
        <f t="shared" si="14"/>
        <v>8266.6458253441197</v>
      </c>
      <c r="AE14">
        <f t="shared" si="15"/>
        <v>90.03013533129689</v>
      </c>
    </row>
    <row r="15" spans="1:31" x14ac:dyDescent="0.35">
      <c r="A15">
        <v>214</v>
      </c>
      <c r="B15">
        <v>14.5</v>
      </c>
      <c r="C15">
        <f t="shared" si="0"/>
        <v>0.12612413793103447</v>
      </c>
      <c r="D15">
        <v>0.91439999999999999</v>
      </c>
      <c r="E15" s="2">
        <f t="shared" si="1"/>
        <v>86709.278356828319</v>
      </c>
      <c r="F15">
        <v>27.4</v>
      </c>
      <c r="G15" s="1">
        <f t="shared" si="2"/>
        <v>1.3699999999999999E-2</v>
      </c>
      <c r="H15" s="2">
        <f>E15*G15</f>
        <v>1187.9171134885478</v>
      </c>
      <c r="I15" s="8">
        <v>2.19</v>
      </c>
      <c r="J15" s="2">
        <f t="shared" si="3"/>
        <v>21.9</v>
      </c>
      <c r="K15" s="10">
        <f t="shared" si="4"/>
        <v>26.015384785399196</v>
      </c>
      <c r="L15">
        <v>29.55</v>
      </c>
      <c r="M15">
        <f t="shared" si="5"/>
        <v>1.4775E-2</v>
      </c>
      <c r="N15" s="2">
        <f>M15*E15</f>
        <v>1281.1295877221385</v>
      </c>
      <c r="O15" s="8">
        <v>2.5099999999999998</v>
      </c>
      <c r="P15" s="2">
        <f t="shared" si="6"/>
        <v>25.099999999999998</v>
      </c>
      <c r="Q15" s="10">
        <f t="shared" si="7"/>
        <v>32.156352651825671</v>
      </c>
      <c r="R15">
        <v>40.274999999999999</v>
      </c>
      <c r="S15">
        <f t="shared" si="8"/>
        <v>2.0137499999999999E-2</v>
      </c>
      <c r="T15" s="2">
        <f>S15*E15</f>
        <v>1746.1080929106301</v>
      </c>
      <c r="U15" s="8">
        <v>0.88</v>
      </c>
      <c r="V15" s="2">
        <f t="shared" si="9"/>
        <v>8.8000000000000007</v>
      </c>
      <c r="W15" s="10">
        <f t="shared" si="10"/>
        <v>15.365751217613546</v>
      </c>
      <c r="X15">
        <v>68.319999999999993</v>
      </c>
      <c r="Y15">
        <f t="shared" si="11"/>
        <v>3.4159999999999996E-2</v>
      </c>
      <c r="Z15" s="2">
        <f>Y15*E15</f>
        <v>2961.988948669255</v>
      </c>
      <c r="AA15">
        <v>1.38</v>
      </c>
      <c r="AB15" s="2">
        <f t="shared" si="12"/>
        <v>13.799999999999999</v>
      </c>
      <c r="AC15" s="10">
        <f t="shared" si="13"/>
        <v>40.875447491635711</v>
      </c>
      <c r="AD15" s="3">
        <f t="shared" si="14"/>
        <v>4708.0970415798856</v>
      </c>
      <c r="AE15">
        <f t="shared" si="15"/>
        <v>56.241198709249261</v>
      </c>
    </row>
    <row r="16" spans="1:31" x14ac:dyDescent="0.35">
      <c r="A16">
        <v>215</v>
      </c>
      <c r="B16">
        <v>13.5</v>
      </c>
      <c r="C16">
        <f t="shared" si="0"/>
        <v>0.13546666666666665</v>
      </c>
      <c r="D16">
        <v>0.91439999999999999</v>
      </c>
      <c r="E16" s="2">
        <f t="shared" si="1"/>
        <v>80729.328125322922</v>
      </c>
      <c r="F16">
        <v>58.8</v>
      </c>
      <c r="G16" s="1">
        <f t="shared" si="2"/>
        <v>2.9399999999999999E-2</v>
      </c>
      <c r="H16" s="2">
        <f>E16*G16</f>
        <v>2373.4422468844937</v>
      </c>
      <c r="I16" s="8">
        <v>2.81</v>
      </c>
      <c r="J16" s="2">
        <f t="shared" si="3"/>
        <v>28.1</v>
      </c>
      <c r="K16" s="10">
        <f t="shared" si="4"/>
        <v>66.693727137454275</v>
      </c>
      <c r="L16">
        <v>71.349999999999994</v>
      </c>
      <c r="M16">
        <f t="shared" si="5"/>
        <v>3.5674999999999998E-2</v>
      </c>
      <c r="N16" s="2">
        <f>M16*E16</f>
        <v>2880.0187808708952</v>
      </c>
      <c r="O16" s="8">
        <v>2.44</v>
      </c>
      <c r="P16" s="2">
        <f t="shared" si="6"/>
        <v>24.4</v>
      </c>
      <c r="Q16" s="10">
        <f t="shared" si="7"/>
        <v>70.272458253249837</v>
      </c>
      <c r="R16">
        <v>90</v>
      </c>
      <c r="S16">
        <f t="shared" si="8"/>
        <v>4.4999999999999998E-2</v>
      </c>
      <c r="T16" s="2">
        <f>S16*E16</f>
        <v>3632.8197656395314</v>
      </c>
      <c r="U16" s="8">
        <v>1.46</v>
      </c>
      <c r="V16" s="2">
        <f t="shared" si="9"/>
        <v>14.6</v>
      </c>
      <c r="W16" s="10">
        <f t="shared" si="10"/>
        <v>53.039168578337154</v>
      </c>
      <c r="X16">
        <v>155.57499999999999</v>
      </c>
      <c r="Y16">
        <f t="shared" si="11"/>
        <v>7.7787499999999996E-2</v>
      </c>
      <c r="Z16" s="2">
        <f>Y16*E16</f>
        <v>6279.7326115485566</v>
      </c>
      <c r="AA16">
        <v>1.24</v>
      </c>
      <c r="AB16" s="2">
        <f t="shared" si="12"/>
        <v>12.4</v>
      </c>
      <c r="AC16" s="10">
        <f t="shared" si="13"/>
        <v>77.868684383202108</v>
      </c>
      <c r="AD16" s="3">
        <f t="shared" si="14"/>
        <v>9912.5523771880871</v>
      </c>
      <c r="AE16">
        <f t="shared" si="15"/>
        <v>130.90785296153928</v>
      </c>
    </row>
    <row r="17" spans="1:31" x14ac:dyDescent="0.35">
      <c r="A17">
        <v>216</v>
      </c>
      <c r="B17">
        <v>15</v>
      </c>
      <c r="C17">
        <f t="shared" si="0"/>
        <v>0.12192</v>
      </c>
      <c r="D17">
        <v>0.91439999999999999</v>
      </c>
      <c r="E17" s="2">
        <f t="shared" si="1"/>
        <v>89699.253472581011</v>
      </c>
      <c r="F17">
        <v>43.9</v>
      </c>
      <c r="G17" s="1">
        <f t="shared" si="2"/>
        <v>2.1950000000000001E-2</v>
      </c>
      <c r="H17" s="2">
        <f>E17*G17</f>
        <v>1968.8986137231532</v>
      </c>
      <c r="I17" s="8">
        <v>2.65</v>
      </c>
      <c r="J17" s="2">
        <f t="shared" si="3"/>
        <v>26.5</v>
      </c>
      <c r="K17" s="10">
        <f t="shared" si="4"/>
        <v>52.175813263663557</v>
      </c>
      <c r="L17">
        <v>65.25</v>
      </c>
      <c r="M17">
        <f t="shared" si="5"/>
        <v>3.2625000000000001E-2</v>
      </c>
      <c r="N17" s="2">
        <f>M17*E17</f>
        <v>2926.4381445429558</v>
      </c>
      <c r="O17" s="8">
        <v>2.0299999999999998</v>
      </c>
      <c r="P17" s="2">
        <f t="shared" si="6"/>
        <v>20.299999999999997</v>
      </c>
      <c r="Q17" s="10">
        <f t="shared" si="7"/>
        <v>59.406694334221996</v>
      </c>
      <c r="R17">
        <v>62.11</v>
      </c>
      <c r="S17">
        <f t="shared" si="8"/>
        <v>3.1054999999999999E-2</v>
      </c>
      <c r="T17" s="2">
        <f>S17*E17</f>
        <v>2785.6103165910031</v>
      </c>
      <c r="U17" s="8">
        <v>1.04</v>
      </c>
      <c r="V17" s="2">
        <f t="shared" si="9"/>
        <v>10.4</v>
      </c>
      <c r="W17" s="10">
        <f t="shared" si="10"/>
        <v>28.970347292546435</v>
      </c>
      <c r="X17">
        <v>104.82</v>
      </c>
      <c r="Y17">
        <f t="shared" si="11"/>
        <v>5.2409999999999998E-2</v>
      </c>
      <c r="Z17" s="2">
        <f>Y17*E17</f>
        <v>4701.1378744979702</v>
      </c>
      <c r="AA17">
        <v>1.6</v>
      </c>
      <c r="AB17" s="2">
        <f t="shared" si="12"/>
        <v>16</v>
      </c>
      <c r="AC17" s="10">
        <f t="shared" si="13"/>
        <v>75.218205991967523</v>
      </c>
      <c r="AD17" s="3">
        <f t="shared" si="14"/>
        <v>7486.7481910889728</v>
      </c>
      <c r="AE17">
        <f t="shared" si="15"/>
        <v>104.18855328451396</v>
      </c>
    </row>
    <row r="18" spans="1:31" x14ac:dyDescent="0.35">
      <c r="A18">
        <v>217</v>
      </c>
      <c r="B18">
        <v>15</v>
      </c>
      <c r="C18">
        <f t="shared" si="0"/>
        <v>0.12192</v>
      </c>
      <c r="D18">
        <v>0.91439999999999999</v>
      </c>
      <c r="E18" s="2">
        <f t="shared" si="1"/>
        <v>89699.253472581011</v>
      </c>
      <c r="F18">
        <v>75</v>
      </c>
      <c r="G18" s="1">
        <f t="shared" si="2"/>
        <v>3.7499999999999999E-2</v>
      </c>
      <c r="H18" s="2">
        <f>E18*G18</f>
        <v>3363.7220052217876</v>
      </c>
      <c r="I18" s="8">
        <v>3.45</v>
      </c>
      <c r="J18" s="2">
        <f t="shared" si="3"/>
        <v>34.5</v>
      </c>
      <c r="K18" s="10">
        <f t="shared" si="4"/>
        <v>116.04840918015168</v>
      </c>
      <c r="L18">
        <v>102.7</v>
      </c>
      <c r="M18">
        <f t="shared" si="5"/>
        <v>5.135E-2</v>
      </c>
      <c r="N18" s="2">
        <f>M18*E18</f>
        <v>4606.0566658170346</v>
      </c>
      <c r="O18" s="8">
        <v>2.23</v>
      </c>
      <c r="P18" s="2">
        <f t="shared" si="6"/>
        <v>22.3</v>
      </c>
      <c r="Q18" s="10">
        <f t="shared" si="7"/>
        <v>102.71506364771987</v>
      </c>
      <c r="R18">
        <v>74.5</v>
      </c>
      <c r="S18">
        <f t="shared" si="8"/>
        <v>3.7249999999999998E-2</v>
      </c>
      <c r="T18" s="2">
        <f>S18*E18</f>
        <v>3341.2971918536423</v>
      </c>
      <c r="U18" s="8">
        <v>1.35</v>
      </c>
      <c r="V18" s="2">
        <f t="shared" si="9"/>
        <v>13.5</v>
      </c>
      <c r="W18" s="10">
        <f t="shared" si="10"/>
        <v>45.107512090024173</v>
      </c>
      <c r="X18">
        <v>156.07499999999999</v>
      </c>
      <c r="Y18">
        <f t="shared" si="11"/>
        <v>7.8037499999999996E-2</v>
      </c>
      <c r="Z18" s="2">
        <f>Y18*E18</f>
        <v>6999.90549286654</v>
      </c>
      <c r="AA18">
        <v>1.34</v>
      </c>
      <c r="AB18" s="2">
        <f t="shared" si="12"/>
        <v>13.4</v>
      </c>
      <c r="AC18" s="10">
        <f t="shared" si="13"/>
        <v>93.798733604411638</v>
      </c>
      <c r="AD18" s="3">
        <f t="shared" si="14"/>
        <v>10341.202684720181</v>
      </c>
      <c r="AE18">
        <f t="shared" si="15"/>
        <v>138.90624569443582</v>
      </c>
    </row>
    <row r="19" spans="1:31" x14ac:dyDescent="0.35">
      <c r="A19">
        <v>218</v>
      </c>
      <c r="B19">
        <v>15</v>
      </c>
      <c r="C19">
        <f t="shared" si="0"/>
        <v>0.12192</v>
      </c>
      <c r="D19">
        <v>0.91439999999999999</v>
      </c>
      <c r="E19" s="2">
        <f t="shared" si="1"/>
        <v>89699.253472581011</v>
      </c>
      <c r="F19">
        <v>72.08</v>
      </c>
      <c r="G19" s="1">
        <f t="shared" si="2"/>
        <v>3.6040000000000003E-2</v>
      </c>
      <c r="H19" s="2">
        <f>E19*G19</f>
        <v>3232.76109515182</v>
      </c>
      <c r="I19" s="8">
        <v>2.71</v>
      </c>
      <c r="J19" s="2">
        <f t="shared" si="3"/>
        <v>27.1</v>
      </c>
      <c r="K19" s="10">
        <f t="shared" si="4"/>
        <v>87.607825678614333</v>
      </c>
      <c r="L19">
        <v>114.6</v>
      </c>
      <c r="M19">
        <f t="shared" si="5"/>
        <v>5.7299999999999997E-2</v>
      </c>
      <c r="N19" s="2">
        <f>M19*E19</f>
        <v>5139.7672239788917</v>
      </c>
      <c r="O19" s="8">
        <v>2.25</v>
      </c>
      <c r="P19" s="2">
        <f t="shared" si="6"/>
        <v>22.5</v>
      </c>
      <c r="Q19" s="10">
        <f t="shared" si="7"/>
        <v>115.64476253952506</v>
      </c>
      <c r="R19">
        <v>61.58</v>
      </c>
      <c r="S19">
        <f t="shared" si="8"/>
        <v>3.0789999999999998E-2</v>
      </c>
      <c r="T19" s="2">
        <f>S19*E19</f>
        <v>2761.840014420769</v>
      </c>
      <c r="U19" s="8">
        <v>1.1000000000000001</v>
      </c>
      <c r="V19" s="2">
        <f t="shared" si="9"/>
        <v>11</v>
      </c>
      <c r="W19" s="10">
        <f t="shared" si="10"/>
        <v>30.380240158628457</v>
      </c>
      <c r="X19">
        <v>124.325</v>
      </c>
      <c r="Y19">
        <f t="shared" si="11"/>
        <v>6.2162500000000002E-2</v>
      </c>
      <c r="Z19" s="2">
        <f>Y19*E19</f>
        <v>5575.9298439893173</v>
      </c>
      <c r="AA19">
        <v>3.32</v>
      </c>
      <c r="AB19" s="2">
        <f t="shared" si="12"/>
        <v>33.199999999999996</v>
      </c>
      <c r="AC19" s="10">
        <f t="shared" si="13"/>
        <v>185.1208708204453</v>
      </c>
      <c r="AD19" s="3">
        <f t="shared" si="14"/>
        <v>8337.7698584100872</v>
      </c>
      <c r="AE19">
        <f t="shared" si="15"/>
        <v>215.50111097907376</v>
      </c>
    </row>
    <row r="20" spans="1:31" x14ac:dyDescent="0.35">
      <c r="A20">
        <v>219</v>
      </c>
      <c r="B20">
        <v>14</v>
      </c>
      <c r="C20">
        <f t="shared" si="0"/>
        <v>0.13062857142857143</v>
      </c>
      <c r="D20">
        <v>0.91439999999999999</v>
      </c>
      <c r="E20" s="2">
        <f t="shared" si="1"/>
        <v>83719.303241075628</v>
      </c>
      <c r="F20">
        <v>42.4</v>
      </c>
      <c r="G20" s="1">
        <f t="shared" si="2"/>
        <v>2.12E-2</v>
      </c>
      <c r="H20" s="2">
        <f>E20*G20</f>
        <v>1774.8492287108033</v>
      </c>
      <c r="I20" s="8">
        <v>2.39</v>
      </c>
      <c r="J20" s="2">
        <f t="shared" si="3"/>
        <v>23.900000000000002</v>
      </c>
      <c r="K20" s="10">
        <f t="shared" si="4"/>
        <v>42.418896566188202</v>
      </c>
      <c r="L20">
        <v>65.75</v>
      </c>
      <c r="M20">
        <f t="shared" si="5"/>
        <v>3.2875000000000001E-2</v>
      </c>
      <c r="N20" s="2">
        <f>M20*E20</f>
        <v>2752.2720940503614</v>
      </c>
      <c r="O20" s="8">
        <v>2.2400000000000002</v>
      </c>
      <c r="P20" s="2">
        <f t="shared" si="6"/>
        <v>22.400000000000002</v>
      </c>
      <c r="Q20" s="10">
        <f t="shared" si="7"/>
        <v>61.650894906728098</v>
      </c>
      <c r="R20">
        <v>60.5</v>
      </c>
      <c r="S20">
        <f t="shared" si="8"/>
        <v>3.0249999999999999E-2</v>
      </c>
      <c r="T20" s="2">
        <f>S20*E20</f>
        <v>2532.5089230425378</v>
      </c>
      <c r="U20" s="8">
        <v>0.74</v>
      </c>
      <c r="V20" s="2">
        <f t="shared" si="9"/>
        <v>7.4</v>
      </c>
      <c r="W20" s="10">
        <f t="shared" si="10"/>
        <v>18.740566030514778</v>
      </c>
      <c r="X20">
        <v>105.545</v>
      </c>
      <c r="Y20">
        <f t="shared" si="11"/>
        <v>5.27725E-2</v>
      </c>
      <c r="Z20" s="2">
        <f>Y20*E20</f>
        <v>4418.0769302896633</v>
      </c>
      <c r="AA20">
        <v>0.98</v>
      </c>
      <c r="AB20" s="2">
        <f t="shared" si="12"/>
        <v>9.8000000000000007</v>
      </c>
      <c r="AC20" s="10">
        <f t="shared" si="13"/>
        <v>43.297153916838703</v>
      </c>
      <c r="AD20" s="3">
        <f t="shared" si="14"/>
        <v>6950.5858533322007</v>
      </c>
      <c r="AE20">
        <f t="shared" si="15"/>
        <v>62.03771994735348</v>
      </c>
    </row>
    <row r="21" spans="1:31" x14ac:dyDescent="0.35">
      <c r="A21">
        <v>220</v>
      </c>
      <c r="B21">
        <v>14.5</v>
      </c>
      <c r="C21">
        <f t="shared" si="0"/>
        <v>0.12612413793103447</v>
      </c>
      <c r="D21">
        <v>0.91439999999999999</v>
      </c>
      <c r="E21" s="2">
        <f t="shared" si="1"/>
        <v>86709.278356828319</v>
      </c>
      <c r="F21">
        <v>92</v>
      </c>
      <c r="G21" s="1">
        <f t="shared" si="2"/>
        <v>4.5999999999999999E-2</v>
      </c>
      <c r="H21" s="2">
        <f>E21*G21</f>
        <v>3988.6268044141025</v>
      </c>
      <c r="I21" s="8">
        <v>2.65</v>
      </c>
      <c r="J21" s="2">
        <f t="shared" si="3"/>
        <v>26.5</v>
      </c>
      <c r="K21" s="10">
        <f t="shared" si="4"/>
        <v>105.69861031697371</v>
      </c>
      <c r="L21">
        <v>109.9</v>
      </c>
      <c r="M21">
        <f t="shared" si="5"/>
        <v>5.4950000000000006E-2</v>
      </c>
      <c r="N21" s="2">
        <f>M21*E21</f>
        <v>4764.6748457077165</v>
      </c>
      <c r="O21" s="8">
        <v>2.37</v>
      </c>
      <c r="P21" s="2">
        <f t="shared" si="6"/>
        <v>23.700000000000003</v>
      </c>
      <c r="Q21" s="10">
        <f t="shared" si="7"/>
        <v>112.9227938432729</v>
      </c>
      <c r="R21">
        <v>128.63</v>
      </c>
      <c r="S21">
        <f t="shared" si="8"/>
        <v>6.4314999999999997E-2</v>
      </c>
      <c r="T21" s="2">
        <f>S21*E21</f>
        <v>5576.707237519413</v>
      </c>
      <c r="U21" s="8">
        <v>1.0900000000000001</v>
      </c>
      <c r="V21" s="2">
        <f t="shared" si="9"/>
        <v>10.9</v>
      </c>
      <c r="W21" s="10">
        <f t="shared" si="10"/>
        <v>60.7861088889616</v>
      </c>
      <c r="X21">
        <v>189</v>
      </c>
      <c r="Y21">
        <f t="shared" si="11"/>
        <v>9.4500000000000001E-2</v>
      </c>
      <c r="Z21" s="2">
        <f>Y21*E21</f>
        <v>8194.0268047202771</v>
      </c>
      <c r="AA21">
        <v>1.55</v>
      </c>
      <c r="AB21" s="2">
        <f t="shared" si="12"/>
        <v>15.5</v>
      </c>
      <c r="AC21" s="10">
        <f t="shared" si="13"/>
        <v>127.00741547316429</v>
      </c>
      <c r="AD21" s="3">
        <f t="shared" si="14"/>
        <v>13770.73404223969</v>
      </c>
      <c r="AE21">
        <f t="shared" si="15"/>
        <v>187.79352436212588</v>
      </c>
    </row>
    <row r="22" spans="1:31" x14ac:dyDescent="0.35">
      <c r="A22">
        <v>221</v>
      </c>
      <c r="B22">
        <v>14.5</v>
      </c>
      <c r="C22">
        <f t="shared" si="0"/>
        <v>0.12612413793103447</v>
      </c>
      <c r="D22">
        <v>0.91439999999999999</v>
      </c>
      <c r="E22" s="2">
        <f t="shared" si="1"/>
        <v>86709.278356828319</v>
      </c>
      <c r="F22">
        <v>61</v>
      </c>
      <c r="G22" s="1">
        <f t="shared" si="2"/>
        <v>3.0499999999999999E-2</v>
      </c>
      <c r="H22" s="2">
        <f>E22*G22</f>
        <v>2644.6329898832637</v>
      </c>
      <c r="I22" s="8">
        <v>2.2599999999999998</v>
      </c>
      <c r="J22" s="2">
        <f t="shared" si="3"/>
        <v>22.599999999999998</v>
      </c>
      <c r="K22" s="10">
        <f t="shared" si="4"/>
        <v>59.76870557136175</v>
      </c>
      <c r="L22">
        <v>98.75</v>
      </c>
      <c r="M22">
        <f t="shared" si="5"/>
        <v>4.9375000000000002E-2</v>
      </c>
      <c r="N22" s="2">
        <f>M22*E22</f>
        <v>4281.2706188683987</v>
      </c>
      <c r="O22" s="8">
        <v>2.1</v>
      </c>
      <c r="P22" s="2">
        <f t="shared" si="6"/>
        <v>21</v>
      </c>
      <c r="Q22" s="10">
        <f t="shared" si="7"/>
        <v>89.90668299623637</v>
      </c>
      <c r="R22">
        <v>72.25</v>
      </c>
      <c r="S22">
        <f t="shared" si="8"/>
        <v>3.6124999999999997E-2</v>
      </c>
      <c r="T22" s="2">
        <f>S22*E22</f>
        <v>3132.3726806404229</v>
      </c>
      <c r="U22" s="8">
        <v>0.54</v>
      </c>
      <c r="V22" s="2">
        <f t="shared" si="9"/>
        <v>5.4</v>
      </c>
      <c r="W22" s="10">
        <f t="shared" si="10"/>
        <v>16.914812475458287</v>
      </c>
      <c r="X22">
        <v>112.38</v>
      </c>
      <c r="Y22">
        <f t="shared" si="11"/>
        <v>5.6189999999999997E-2</v>
      </c>
      <c r="Z22" s="2">
        <f>Y22*E22</f>
        <v>4872.1943508701834</v>
      </c>
      <c r="AA22">
        <v>0.91</v>
      </c>
      <c r="AB22" s="2">
        <f t="shared" si="12"/>
        <v>9.1</v>
      </c>
      <c r="AC22" s="10">
        <f t="shared" si="13"/>
        <v>44.336968592918666</v>
      </c>
      <c r="AD22" s="3">
        <f t="shared" si="14"/>
        <v>8004.5670315106063</v>
      </c>
      <c r="AE22">
        <f t="shared" si="15"/>
        <v>61.251781068376957</v>
      </c>
    </row>
    <row r="23" spans="1:31" x14ac:dyDescent="0.35">
      <c r="A23">
        <v>222</v>
      </c>
      <c r="B23">
        <v>13.5</v>
      </c>
      <c r="C23">
        <f t="shared" si="0"/>
        <v>0.13546666666666665</v>
      </c>
      <c r="D23">
        <v>0.91439999999999999</v>
      </c>
      <c r="E23" s="2">
        <f t="shared" si="1"/>
        <v>80729.328125322922</v>
      </c>
      <c r="F23">
        <v>95.2</v>
      </c>
      <c r="G23" s="1">
        <f t="shared" si="2"/>
        <v>4.7600000000000003E-2</v>
      </c>
      <c r="H23" s="2">
        <f>E23*G23</f>
        <v>3842.7160187653712</v>
      </c>
      <c r="I23" s="8">
        <v>2.69</v>
      </c>
      <c r="J23" s="2">
        <f t="shared" si="3"/>
        <v>26.9</v>
      </c>
      <c r="K23" s="10">
        <f t="shared" si="4"/>
        <v>103.36906090478848</v>
      </c>
      <c r="L23">
        <v>141.05000000000001</v>
      </c>
      <c r="M23">
        <f t="shared" si="5"/>
        <v>7.0525000000000004E-2</v>
      </c>
      <c r="N23" s="2">
        <f>M23*E23</f>
        <v>5693.4358660383996</v>
      </c>
      <c r="O23" s="8">
        <v>1.73</v>
      </c>
      <c r="P23" s="2">
        <f t="shared" si="6"/>
        <v>17.3</v>
      </c>
      <c r="Q23" s="10">
        <f t="shared" si="7"/>
        <v>98.496440482464308</v>
      </c>
      <c r="R23">
        <v>91.444999999999993</v>
      </c>
      <c r="S23">
        <f t="shared" si="8"/>
        <v>4.5722499999999999E-2</v>
      </c>
      <c r="T23" s="2">
        <f>S23*E23</f>
        <v>3691.146705210077</v>
      </c>
      <c r="U23" s="8">
        <v>0.86</v>
      </c>
      <c r="V23" s="2">
        <f t="shared" si="9"/>
        <v>8.6</v>
      </c>
      <c r="W23" s="10">
        <f t="shared" si="10"/>
        <v>31.743861664806658</v>
      </c>
      <c r="X23">
        <v>147.935</v>
      </c>
      <c r="Y23">
        <f t="shared" si="11"/>
        <v>7.3967500000000005E-2</v>
      </c>
      <c r="Z23" s="2">
        <f>Y23*E23</f>
        <v>5971.3465781098239</v>
      </c>
      <c r="AA23">
        <v>1.1299999999999999</v>
      </c>
      <c r="AB23" s="2">
        <f t="shared" si="12"/>
        <v>11.299999999999999</v>
      </c>
      <c r="AC23" s="10">
        <f t="shared" si="13"/>
        <v>67.476216332641002</v>
      </c>
      <c r="AD23" s="3">
        <f t="shared" si="14"/>
        <v>9662.4932833199018</v>
      </c>
      <c r="AE23">
        <f t="shared" si="15"/>
        <v>99.22007799744766</v>
      </c>
    </row>
    <row r="24" spans="1:31" x14ac:dyDescent="0.35">
      <c r="A24">
        <v>223</v>
      </c>
      <c r="B24">
        <v>15.5</v>
      </c>
      <c r="C24">
        <f t="shared" si="0"/>
        <v>0.11798709677419354</v>
      </c>
      <c r="D24">
        <v>0.91439999999999999</v>
      </c>
      <c r="E24" s="2">
        <f t="shared" si="1"/>
        <v>92689.228588333717</v>
      </c>
      <c r="F24">
        <v>98</v>
      </c>
      <c r="G24" s="1">
        <f t="shared" si="2"/>
        <v>4.9000000000000002E-2</v>
      </c>
      <c r="H24" s="2">
        <f>E24*G24</f>
        <v>4541.7722008283527</v>
      </c>
      <c r="I24" s="8">
        <v>2.6</v>
      </c>
      <c r="J24" s="2">
        <f t="shared" si="3"/>
        <v>26</v>
      </c>
      <c r="K24" s="10">
        <f t="shared" si="4"/>
        <v>118.08607722153717</v>
      </c>
      <c r="L24">
        <v>146.07499999999999</v>
      </c>
      <c r="M24">
        <f t="shared" si="5"/>
        <v>7.3037499999999991E-2</v>
      </c>
      <c r="N24" s="2">
        <f>M24*E24</f>
        <v>6769.7895330204228</v>
      </c>
      <c r="O24" s="8">
        <v>2.0499999999999998</v>
      </c>
      <c r="P24" s="2">
        <f t="shared" si="6"/>
        <v>20.5</v>
      </c>
      <c r="Q24" s="10">
        <f t="shared" si="7"/>
        <v>138.78068542691867</v>
      </c>
      <c r="R24">
        <v>106.605</v>
      </c>
      <c r="S24">
        <f t="shared" si="8"/>
        <v>5.3302500000000003E-2</v>
      </c>
      <c r="T24" s="2">
        <f>S24*E24</f>
        <v>4940.567606829658</v>
      </c>
      <c r="U24" s="8">
        <v>1.07</v>
      </c>
      <c r="V24" s="2">
        <f t="shared" si="9"/>
        <v>10.700000000000001</v>
      </c>
      <c r="W24" s="10">
        <f t="shared" si="10"/>
        <v>52.864073393077341</v>
      </c>
      <c r="X24">
        <v>180.3</v>
      </c>
      <c r="Y24">
        <f t="shared" si="11"/>
        <v>9.0150000000000008E-2</v>
      </c>
      <c r="Z24" s="2">
        <f>Y24*E24</f>
        <v>8355.9339572382851</v>
      </c>
      <c r="AA24">
        <v>1.24</v>
      </c>
      <c r="AB24" s="2">
        <f t="shared" si="12"/>
        <v>12.4</v>
      </c>
      <c r="AC24" s="10">
        <f t="shared" si="13"/>
        <v>103.61358106975474</v>
      </c>
      <c r="AD24" s="3">
        <f t="shared" si="14"/>
        <v>13296.501564067943</v>
      </c>
      <c r="AE24">
        <f t="shared" si="15"/>
        <v>156.47765446283208</v>
      </c>
    </row>
    <row r="25" spans="1:31" x14ac:dyDescent="0.35">
      <c r="A25">
        <v>224</v>
      </c>
      <c r="B25">
        <v>12.5</v>
      </c>
      <c r="C25">
        <f t="shared" si="0"/>
        <v>0.14630399999999999</v>
      </c>
      <c r="D25">
        <v>0.91439999999999999</v>
      </c>
      <c r="E25" s="2">
        <f t="shared" si="1"/>
        <v>74749.377893817509</v>
      </c>
      <c r="F25">
        <v>92</v>
      </c>
      <c r="G25" s="1">
        <f t="shared" si="2"/>
        <v>4.5999999999999999E-2</v>
      </c>
      <c r="H25" s="2">
        <f>E25*G25</f>
        <v>3438.4713831156055</v>
      </c>
      <c r="I25" s="8">
        <v>2.68</v>
      </c>
      <c r="J25" s="2">
        <f t="shared" si="3"/>
        <v>26.8</v>
      </c>
      <c r="K25" s="10">
        <f t="shared" si="4"/>
        <v>92.151033067498219</v>
      </c>
      <c r="L25">
        <v>170.15</v>
      </c>
      <c r="M25">
        <f t="shared" si="5"/>
        <v>8.5074999999999998E-2</v>
      </c>
      <c r="N25" s="2">
        <f>M25*E25</f>
        <v>6359.3033243165246</v>
      </c>
      <c r="O25" s="8">
        <v>1.86</v>
      </c>
      <c r="P25" s="2">
        <f t="shared" si="6"/>
        <v>18.600000000000001</v>
      </c>
      <c r="Q25" s="10">
        <f t="shared" si="7"/>
        <v>118.28304183228735</v>
      </c>
      <c r="R25">
        <v>95.96</v>
      </c>
      <c r="S25">
        <f t="shared" si="8"/>
        <v>4.7979999999999995E-2</v>
      </c>
      <c r="T25" s="2">
        <f>S25*E25</f>
        <v>3586.4751513453639</v>
      </c>
      <c r="U25" s="8">
        <v>1.18</v>
      </c>
      <c r="V25" s="2">
        <f t="shared" si="9"/>
        <v>11.799999999999999</v>
      </c>
      <c r="W25" s="10">
        <f t="shared" si="10"/>
        <v>42.320406785875292</v>
      </c>
      <c r="X25">
        <v>170</v>
      </c>
      <c r="Y25">
        <f t="shared" si="11"/>
        <v>8.5000000000000006E-2</v>
      </c>
      <c r="Z25" s="2">
        <f>Y25*E25</f>
        <v>6353.6971209744888</v>
      </c>
      <c r="AA25">
        <v>1.33</v>
      </c>
      <c r="AB25" s="2">
        <f t="shared" si="12"/>
        <v>13.3</v>
      </c>
      <c r="AC25" s="10">
        <f t="shared" si="13"/>
        <v>84.504171708960712</v>
      </c>
      <c r="AD25" s="3">
        <f t="shared" si="14"/>
        <v>9940.1722723198527</v>
      </c>
      <c r="AE25">
        <f t="shared" si="15"/>
        <v>126.824578494836</v>
      </c>
    </row>
    <row r="26" spans="1:31" x14ac:dyDescent="0.35">
      <c r="A26">
        <v>225</v>
      </c>
      <c r="B26">
        <v>14.5</v>
      </c>
      <c r="C26">
        <f t="shared" si="0"/>
        <v>0.12612413793103447</v>
      </c>
      <c r="D26">
        <v>0.91439999999999999</v>
      </c>
      <c r="E26" s="2">
        <f t="shared" si="1"/>
        <v>86709.278356828319</v>
      </c>
      <c r="F26">
        <v>41.7</v>
      </c>
      <c r="G26" s="1">
        <f t="shared" si="2"/>
        <v>2.085E-2</v>
      </c>
      <c r="H26" s="2">
        <f>E26*G26</f>
        <v>1807.8884537398706</v>
      </c>
      <c r="I26" s="8">
        <v>2.69</v>
      </c>
      <c r="J26" s="2">
        <f t="shared" si="3"/>
        <v>26.9</v>
      </c>
      <c r="K26" s="10">
        <f t="shared" si="4"/>
        <v>48.632199405602513</v>
      </c>
      <c r="L26">
        <v>66</v>
      </c>
      <c r="M26">
        <f t="shared" si="5"/>
        <v>3.3000000000000002E-2</v>
      </c>
      <c r="N26" s="2">
        <f>M26*E26</f>
        <v>2861.4061857753345</v>
      </c>
      <c r="O26" s="8">
        <v>2.04</v>
      </c>
      <c r="P26" s="2">
        <f t="shared" si="6"/>
        <v>20.399999999999999</v>
      </c>
      <c r="Q26" s="10">
        <f t="shared" si="7"/>
        <v>58.372686189816818</v>
      </c>
      <c r="R26">
        <v>77.75</v>
      </c>
      <c r="S26">
        <f t="shared" si="8"/>
        <v>3.8875E-2</v>
      </c>
      <c r="T26" s="2">
        <f>S26*E26</f>
        <v>3370.8231961217007</v>
      </c>
      <c r="U26" s="8">
        <v>1.05</v>
      </c>
      <c r="V26" s="2">
        <f t="shared" si="9"/>
        <v>10.5</v>
      </c>
      <c r="W26" s="10">
        <f t="shared" si="10"/>
        <v>35.393643559277855</v>
      </c>
      <c r="X26">
        <v>133.63499999999999</v>
      </c>
      <c r="Y26">
        <f t="shared" si="11"/>
        <v>6.6817500000000002E-2</v>
      </c>
      <c r="Z26" s="2">
        <f>Y26*E26</f>
        <v>5793.6972066073768</v>
      </c>
      <c r="AA26">
        <v>1.36</v>
      </c>
      <c r="AB26" s="2">
        <f t="shared" si="12"/>
        <v>13.600000000000001</v>
      </c>
      <c r="AC26" s="10">
        <f t="shared" si="13"/>
        <v>78.794282009860325</v>
      </c>
      <c r="AD26" s="3">
        <f t="shared" si="14"/>
        <v>9164.5204027290783</v>
      </c>
      <c r="AE26">
        <f t="shared" si="15"/>
        <v>114.18792556913817</v>
      </c>
    </row>
    <row r="27" spans="1:31" x14ac:dyDescent="0.35">
      <c r="A27">
        <v>226</v>
      </c>
      <c r="B27">
        <v>14.5</v>
      </c>
      <c r="C27">
        <f t="shared" si="0"/>
        <v>0.12612413793103447</v>
      </c>
      <c r="D27">
        <v>0.91439999999999999</v>
      </c>
      <c r="E27" s="2">
        <f t="shared" si="1"/>
        <v>86709.278356828319</v>
      </c>
      <c r="F27">
        <v>23.3</v>
      </c>
      <c r="G27" s="1">
        <f t="shared" si="2"/>
        <v>1.1650000000000001E-2</v>
      </c>
      <c r="H27" s="2">
        <f>E27*G27</f>
        <v>1010.1630928570499</v>
      </c>
      <c r="I27" s="8">
        <v>2.0699999999999998</v>
      </c>
      <c r="J27" s="2">
        <f t="shared" si="3"/>
        <v>20.7</v>
      </c>
      <c r="K27" s="10">
        <f t="shared" si="4"/>
        <v>20.91037602214093</v>
      </c>
      <c r="L27">
        <v>53.6</v>
      </c>
      <c r="M27">
        <f t="shared" si="5"/>
        <v>2.6800000000000001E-2</v>
      </c>
      <c r="N27" s="2">
        <f>M27*E27</f>
        <v>2323.8086599629992</v>
      </c>
      <c r="O27" s="8">
        <v>2.2999999999999998</v>
      </c>
      <c r="P27" s="2">
        <f t="shared" si="6"/>
        <v>23</v>
      </c>
      <c r="Q27" s="10">
        <f t="shared" si="7"/>
        <v>53.44759917914898</v>
      </c>
      <c r="R27">
        <v>45.204999999999998</v>
      </c>
      <c r="S27">
        <f t="shared" si="8"/>
        <v>2.2602499999999998E-2</v>
      </c>
      <c r="T27" s="2">
        <f>S27*E27</f>
        <v>1959.8464640602119</v>
      </c>
      <c r="U27" s="8">
        <v>0.57999999999999996</v>
      </c>
      <c r="V27" s="2">
        <f t="shared" si="9"/>
        <v>5.8</v>
      </c>
      <c r="W27" s="10">
        <f t="shared" si="10"/>
        <v>11.367109491549229</v>
      </c>
      <c r="X27">
        <v>81.114999999999995</v>
      </c>
      <c r="Y27">
        <f t="shared" si="11"/>
        <v>4.0557499999999996E-2</v>
      </c>
      <c r="Z27" s="2">
        <f>Y27*E27</f>
        <v>3516.7115569570642</v>
      </c>
      <c r="AA27">
        <v>1.39</v>
      </c>
      <c r="AB27" s="2">
        <f t="shared" si="12"/>
        <v>13.899999999999999</v>
      </c>
      <c r="AC27" s="10">
        <f t="shared" si="13"/>
        <v>48.882290641703186</v>
      </c>
      <c r="AD27" s="3">
        <f t="shared" si="14"/>
        <v>5476.5580210172757</v>
      </c>
      <c r="AE27">
        <f t="shared" si="15"/>
        <v>60.249400133252415</v>
      </c>
    </row>
    <row r="28" spans="1:31" x14ac:dyDescent="0.35">
      <c r="A28">
        <v>227</v>
      </c>
      <c r="B28">
        <v>14</v>
      </c>
      <c r="C28">
        <f t="shared" si="0"/>
        <v>0.13062857142857143</v>
      </c>
      <c r="D28">
        <v>0.91439999999999999</v>
      </c>
      <c r="E28" s="2">
        <f t="shared" si="1"/>
        <v>83719.303241075628</v>
      </c>
      <c r="F28">
        <v>39.799999999999997</v>
      </c>
      <c r="G28" s="1">
        <f t="shared" si="2"/>
        <v>1.9899999999999998E-2</v>
      </c>
      <c r="H28" s="2">
        <f>E28*G28</f>
        <v>1666.0141344974047</v>
      </c>
      <c r="I28" s="8">
        <v>2.84</v>
      </c>
      <c r="J28" s="2">
        <f t="shared" si="3"/>
        <v>28.4</v>
      </c>
      <c r="K28" s="10">
        <f t="shared" si="4"/>
        <v>47.314801419726287</v>
      </c>
      <c r="L28">
        <v>57.15</v>
      </c>
      <c r="M28">
        <f t="shared" si="5"/>
        <v>2.8575E-2</v>
      </c>
      <c r="N28" s="2">
        <f>M28*E28</f>
        <v>2392.2790901137359</v>
      </c>
      <c r="O28" s="8">
        <v>2.31</v>
      </c>
      <c r="P28" s="2">
        <f t="shared" si="6"/>
        <v>23.1</v>
      </c>
      <c r="Q28" s="10">
        <f t="shared" si="7"/>
        <v>55.261646981627301</v>
      </c>
      <c r="R28">
        <v>42.71</v>
      </c>
      <c r="S28">
        <f t="shared" si="8"/>
        <v>2.1354999999999999E-2</v>
      </c>
      <c r="T28" s="2">
        <f>S28*E28</f>
        <v>1787.8257207131699</v>
      </c>
      <c r="U28" s="8">
        <v>0.64</v>
      </c>
      <c r="V28" s="2">
        <f t="shared" si="9"/>
        <v>6.4</v>
      </c>
      <c r="W28" s="10">
        <f t="shared" si="10"/>
        <v>11.442084612564287</v>
      </c>
      <c r="X28">
        <v>82.36</v>
      </c>
      <c r="Y28">
        <f t="shared" si="11"/>
        <v>4.1180000000000001E-2</v>
      </c>
      <c r="Z28" s="2">
        <f>Y28*E28</f>
        <v>3447.5609074674944</v>
      </c>
      <c r="AA28">
        <v>1.32</v>
      </c>
      <c r="AB28" s="2">
        <f t="shared" si="12"/>
        <v>13.200000000000001</v>
      </c>
      <c r="AC28" s="10">
        <f t="shared" si="13"/>
        <v>45.507803978570934</v>
      </c>
      <c r="AD28" s="3">
        <f t="shared" si="14"/>
        <v>5235.386628180664</v>
      </c>
      <c r="AE28">
        <f t="shared" si="15"/>
        <v>56.94988859113522</v>
      </c>
    </row>
    <row r="29" spans="1:31" x14ac:dyDescent="0.35">
      <c r="A29">
        <v>228</v>
      </c>
      <c r="B29">
        <v>15</v>
      </c>
      <c r="C29">
        <f t="shared" si="0"/>
        <v>0.12192</v>
      </c>
      <c r="D29">
        <v>0.91439999999999999</v>
      </c>
      <c r="E29" s="2">
        <f t="shared" si="1"/>
        <v>89699.253472581011</v>
      </c>
      <c r="F29">
        <v>56.7</v>
      </c>
      <c r="G29" s="1">
        <f t="shared" si="2"/>
        <v>2.835E-2</v>
      </c>
      <c r="H29" s="2">
        <f>E29*G29</f>
        <v>2542.9738359476719</v>
      </c>
      <c r="I29" s="8">
        <v>2.92</v>
      </c>
      <c r="J29" s="2">
        <f t="shared" si="3"/>
        <v>29.2</v>
      </c>
      <c r="K29" s="10">
        <f t="shared" si="4"/>
        <v>74.254836009672019</v>
      </c>
      <c r="L29">
        <v>72.2</v>
      </c>
      <c r="M29">
        <f t="shared" si="5"/>
        <v>3.61E-2</v>
      </c>
      <c r="N29" s="2">
        <f>M29*E29</f>
        <v>3238.1430503601746</v>
      </c>
      <c r="O29" s="8">
        <v>2.2400000000000002</v>
      </c>
      <c r="P29" s="2">
        <f t="shared" si="6"/>
        <v>22.400000000000002</v>
      </c>
      <c r="Q29" s="10">
        <f t="shared" si="7"/>
        <v>72.534404328067922</v>
      </c>
      <c r="R29">
        <v>67.37</v>
      </c>
      <c r="S29">
        <f t="shared" si="8"/>
        <v>3.3685E-2</v>
      </c>
      <c r="T29" s="2">
        <f>S29*E29</f>
        <v>3021.5193532238914</v>
      </c>
      <c r="U29" s="8">
        <v>1.17</v>
      </c>
      <c r="V29" s="2">
        <f t="shared" si="9"/>
        <v>11.7</v>
      </c>
      <c r="W29" s="10">
        <f t="shared" si="10"/>
        <v>35.351776432719525</v>
      </c>
      <c r="X29">
        <v>125.3</v>
      </c>
      <c r="Y29">
        <f t="shared" si="11"/>
        <v>6.2649999999999997E-2</v>
      </c>
      <c r="Z29" s="2">
        <f>Y29*E29</f>
        <v>5619.6582300571999</v>
      </c>
      <c r="AA29">
        <v>1.47</v>
      </c>
      <c r="AB29" s="2">
        <f t="shared" si="12"/>
        <v>14.7</v>
      </c>
      <c r="AC29" s="10">
        <f t="shared" si="13"/>
        <v>82.608975981840828</v>
      </c>
      <c r="AD29" s="3">
        <f t="shared" si="14"/>
        <v>8641.1775832810908</v>
      </c>
      <c r="AE29">
        <f t="shared" si="15"/>
        <v>117.96075241456035</v>
      </c>
    </row>
    <row r="30" spans="1:31" x14ac:dyDescent="0.35">
      <c r="A30">
        <v>229</v>
      </c>
      <c r="B30">
        <v>13.5</v>
      </c>
      <c r="C30">
        <f t="shared" si="0"/>
        <v>0.13546666666666665</v>
      </c>
      <c r="D30">
        <v>0.91439999999999999</v>
      </c>
      <c r="E30" s="2">
        <f t="shared" si="1"/>
        <v>80729.328125322922</v>
      </c>
      <c r="F30">
        <v>67.599999999999994</v>
      </c>
      <c r="G30" s="1">
        <f t="shared" si="2"/>
        <v>3.3799999999999997E-2</v>
      </c>
      <c r="H30" s="2">
        <f>E30*G30</f>
        <v>2728.6512906359144</v>
      </c>
      <c r="I30" s="8">
        <v>2.48</v>
      </c>
      <c r="J30" s="2">
        <f t="shared" si="3"/>
        <v>24.8</v>
      </c>
      <c r="K30" s="10">
        <f t="shared" si="4"/>
        <v>67.670552007770681</v>
      </c>
      <c r="L30">
        <v>110.25</v>
      </c>
      <c r="M30">
        <f t="shared" si="5"/>
        <v>5.5125E-2</v>
      </c>
      <c r="N30" s="2">
        <f>M30*E30</f>
        <v>4450.2042129084257</v>
      </c>
      <c r="O30" s="8">
        <v>1.74</v>
      </c>
      <c r="P30" s="2">
        <f t="shared" si="6"/>
        <v>17.399999999999999</v>
      </c>
      <c r="Q30" s="10">
        <f t="shared" si="7"/>
        <v>77.43355330460659</v>
      </c>
      <c r="R30">
        <v>130.33000000000001</v>
      </c>
      <c r="S30">
        <f t="shared" si="8"/>
        <v>6.5165000000000001E-2</v>
      </c>
      <c r="T30" s="2">
        <f>S30*E30</f>
        <v>5260.7266672866681</v>
      </c>
      <c r="U30" s="8">
        <v>0.99</v>
      </c>
      <c r="V30" s="2">
        <f t="shared" si="9"/>
        <v>9.9</v>
      </c>
      <c r="W30" s="10">
        <f t="shared" si="10"/>
        <v>52.081194006138013</v>
      </c>
      <c r="X30">
        <v>206.25</v>
      </c>
      <c r="Y30">
        <f t="shared" si="11"/>
        <v>0.10312499999999999</v>
      </c>
      <c r="Z30" s="2">
        <f>Y30*E30</f>
        <v>8325.211962923926</v>
      </c>
      <c r="AA30">
        <v>1.3</v>
      </c>
      <c r="AB30" s="2">
        <f t="shared" si="12"/>
        <v>13</v>
      </c>
      <c r="AC30" s="10">
        <f t="shared" si="13"/>
        <v>108.22775551801104</v>
      </c>
      <c r="AD30" s="3">
        <f t="shared" si="14"/>
        <v>13585.938630210594</v>
      </c>
      <c r="AE30">
        <f t="shared" si="15"/>
        <v>160.30894952414906</v>
      </c>
    </row>
    <row r="31" spans="1:31" x14ac:dyDescent="0.35">
      <c r="A31">
        <v>230</v>
      </c>
      <c r="B31">
        <v>13</v>
      </c>
      <c r="C31">
        <f t="shared" si="0"/>
        <v>0.14067692307692309</v>
      </c>
      <c r="D31">
        <v>0.91439999999999999</v>
      </c>
      <c r="E31" s="2">
        <f t="shared" si="1"/>
        <v>77739.353009570215</v>
      </c>
      <c r="F31">
        <v>80.599999999999994</v>
      </c>
      <c r="G31" s="1">
        <f t="shared" si="2"/>
        <v>4.0299999999999996E-2</v>
      </c>
      <c r="H31" s="2">
        <f>E31*G31</f>
        <v>3132.8959262856793</v>
      </c>
      <c r="I31" s="8">
        <v>2.23</v>
      </c>
      <c r="J31" s="2">
        <f t="shared" si="3"/>
        <v>22.3</v>
      </c>
      <c r="K31" s="10">
        <f t="shared" si="4"/>
        <v>69.863579156170644</v>
      </c>
      <c r="L31">
        <v>107.47499999999999</v>
      </c>
      <c r="M31">
        <f t="shared" si="5"/>
        <v>5.3737500000000001E-2</v>
      </c>
      <c r="N31" s="2">
        <f>M31*E31</f>
        <v>4177.5184823517793</v>
      </c>
      <c r="O31" s="8">
        <v>2.2999999999999998</v>
      </c>
      <c r="P31" s="2">
        <f t="shared" si="6"/>
        <v>23</v>
      </c>
      <c r="Q31" s="10">
        <f t="shared" si="7"/>
        <v>96.082925094090925</v>
      </c>
      <c r="R31">
        <v>122.095</v>
      </c>
      <c r="S31">
        <f t="shared" si="8"/>
        <v>6.1047499999999998E-2</v>
      </c>
      <c r="T31" s="2">
        <f>S31*E31</f>
        <v>4745.7931528517374</v>
      </c>
      <c r="U31" s="8">
        <v>0.95</v>
      </c>
      <c r="V31" s="2">
        <f t="shared" si="9"/>
        <v>9.5</v>
      </c>
      <c r="W31" s="10">
        <f t="shared" si="10"/>
        <v>45.085034952091505</v>
      </c>
      <c r="X31">
        <v>211.15</v>
      </c>
      <c r="Y31">
        <f t="shared" si="11"/>
        <v>0.105575</v>
      </c>
      <c r="Z31" s="2">
        <f>Y31*E31</f>
        <v>8207.3321939853759</v>
      </c>
      <c r="AA31">
        <v>1.42</v>
      </c>
      <c r="AB31" s="2">
        <f t="shared" si="12"/>
        <v>14.2</v>
      </c>
      <c r="AC31" s="10">
        <f t="shared" si="13"/>
        <v>116.54411715459233</v>
      </c>
      <c r="AD31" s="3">
        <f t="shared" si="14"/>
        <v>12953.125346837114</v>
      </c>
      <c r="AE31">
        <f t="shared" si="15"/>
        <v>161.62915210668382</v>
      </c>
    </row>
    <row r="32" spans="1:31" x14ac:dyDescent="0.35">
      <c r="A32">
        <v>231</v>
      </c>
      <c r="B32">
        <v>14</v>
      </c>
      <c r="C32">
        <f t="shared" si="0"/>
        <v>0.13062857142857143</v>
      </c>
      <c r="D32">
        <v>0.91439999999999999</v>
      </c>
      <c r="E32" s="2">
        <f t="shared" si="1"/>
        <v>83719.303241075628</v>
      </c>
      <c r="F32">
        <v>83.7</v>
      </c>
      <c r="G32" s="1">
        <f t="shared" si="2"/>
        <v>4.1849999999999998E-2</v>
      </c>
      <c r="H32" s="2">
        <f>E32*G32</f>
        <v>3503.6528406390148</v>
      </c>
      <c r="I32" s="8">
        <v>2.37</v>
      </c>
      <c r="J32" s="2">
        <f t="shared" si="3"/>
        <v>23.700000000000003</v>
      </c>
      <c r="K32" s="10">
        <f t="shared" si="4"/>
        <v>83.036572323144668</v>
      </c>
      <c r="L32">
        <v>136.5</v>
      </c>
      <c r="M32">
        <f t="shared" si="5"/>
        <v>6.8250000000000005E-2</v>
      </c>
      <c r="N32" s="2">
        <f>M32*E32</f>
        <v>5713.8424462034118</v>
      </c>
      <c r="O32" s="8">
        <v>1.5</v>
      </c>
      <c r="P32" s="2">
        <f t="shared" si="6"/>
        <v>15</v>
      </c>
      <c r="Q32" s="10">
        <f t="shared" si="7"/>
        <v>85.707636693051171</v>
      </c>
      <c r="R32">
        <v>118.75</v>
      </c>
      <c r="S32">
        <f t="shared" si="8"/>
        <v>5.9374999999999997E-2</v>
      </c>
      <c r="T32" s="2">
        <f>S32*E32</f>
        <v>4970.8336299388648</v>
      </c>
      <c r="U32" s="8">
        <v>0.32</v>
      </c>
      <c r="V32" s="2">
        <f t="shared" si="9"/>
        <v>3.2</v>
      </c>
      <c r="W32" s="10">
        <f t="shared" si="10"/>
        <v>15.906667615804368</v>
      </c>
      <c r="X32">
        <v>170</v>
      </c>
      <c r="Y32">
        <f t="shared" si="11"/>
        <v>8.5000000000000006E-2</v>
      </c>
      <c r="Z32" s="2">
        <f>Y32*E32</f>
        <v>7116.1407754914289</v>
      </c>
      <c r="AA32">
        <v>1.03</v>
      </c>
      <c r="AB32" s="2">
        <f t="shared" si="12"/>
        <v>10.3</v>
      </c>
      <c r="AC32" s="10">
        <f t="shared" si="13"/>
        <v>73.296249987561723</v>
      </c>
      <c r="AD32" s="3">
        <f t="shared" si="14"/>
        <v>12086.974405430294</v>
      </c>
      <c r="AE32">
        <f t="shared" si="15"/>
        <v>89.202917603366089</v>
      </c>
    </row>
    <row r="33" spans="1:31" x14ac:dyDescent="0.35">
      <c r="A33">
        <v>232</v>
      </c>
      <c r="B33">
        <v>14</v>
      </c>
      <c r="C33">
        <f t="shared" si="0"/>
        <v>0.13062857142857143</v>
      </c>
      <c r="D33">
        <v>0.91439999999999999</v>
      </c>
      <c r="E33" s="2">
        <f t="shared" si="1"/>
        <v>83719.303241075628</v>
      </c>
      <c r="F33">
        <v>24.4</v>
      </c>
      <c r="G33" s="1">
        <f t="shared" si="2"/>
        <v>1.2199999999999999E-2</v>
      </c>
      <c r="H33" s="2">
        <f>E33*G33</f>
        <v>1021.3754995411226</v>
      </c>
      <c r="I33" s="8">
        <v>2.0099999999999998</v>
      </c>
      <c r="J33" s="2">
        <f t="shared" si="3"/>
        <v>20.099999999999998</v>
      </c>
      <c r="K33" s="10">
        <f t="shared" si="4"/>
        <v>20.529647540776562</v>
      </c>
      <c r="L33">
        <v>40.15</v>
      </c>
      <c r="M33">
        <f t="shared" si="5"/>
        <v>2.0074999999999999E-2</v>
      </c>
      <c r="N33" s="2">
        <f>M33*E33</f>
        <v>1680.6650125645931</v>
      </c>
      <c r="O33" s="8">
        <v>1.69</v>
      </c>
      <c r="P33" s="2">
        <f t="shared" si="6"/>
        <v>16.899999999999999</v>
      </c>
      <c r="Q33" s="10">
        <f t="shared" si="7"/>
        <v>28.403238712341619</v>
      </c>
      <c r="R33">
        <v>71.5</v>
      </c>
      <c r="S33">
        <f t="shared" si="8"/>
        <v>3.5749999999999997E-2</v>
      </c>
      <c r="T33" s="2">
        <f>S33*E33</f>
        <v>2992.9650908684534</v>
      </c>
      <c r="U33" s="8">
        <v>0.41</v>
      </c>
      <c r="V33" s="2">
        <f t="shared" si="9"/>
        <v>4.0999999999999996</v>
      </c>
      <c r="W33" s="10">
        <f t="shared" si="10"/>
        <v>12.271156872560658</v>
      </c>
      <c r="X33">
        <v>118.825</v>
      </c>
      <c r="Y33">
        <f t="shared" si="11"/>
        <v>5.94125E-2</v>
      </c>
      <c r="Z33" s="2">
        <f>Y33*E33</f>
        <v>4973.9731038104055</v>
      </c>
      <c r="AA33">
        <v>0.96</v>
      </c>
      <c r="AB33" s="2">
        <f t="shared" si="12"/>
        <v>9.6</v>
      </c>
      <c r="AC33" s="10">
        <f t="shared" si="13"/>
        <v>47.750141796579889</v>
      </c>
      <c r="AD33" s="3">
        <f t="shared" si="14"/>
        <v>7966.938194678859</v>
      </c>
      <c r="AE33">
        <f t="shared" si="15"/>
        <v>60.021298669140549</v>
      </c>
    </row>
    <row r="34" spans="1:31" x14ac:dyDescent="0.35">
      <c r="A34">
        <v>233</v>
      </c>
      <c r="B34">
        <v>13.5</v>
      </c>
      <c r="C34">
        <f t="shared" si="0"/>
        <v>0.13546666666666665</v>
      </c>
      <c r="D34">
        <v>0.91439999999999999</v>
      </c>
      <c r="E34" s="2">
        <f t="shared" si="1"/>
        <v>80729.328125322922</v>
      </c>
      <c r="F34">
        <v>73.7</v>
      </c>
      <c r="G34" s="1">
        <f t="shared" si="2"/>
        <v>3.6850000000000001E-2</v>
      </c>
      <c r="H34" s="2">
        <f>E34*G34</f>
        <v>2974.8757414181496</v>
      </c>
      <c r="I34" s="8">
        <v>3.79</v>
      </c>
      <c r="J34" s="2">
        <f t="shared" si="3"/>
        <v>37.9</v>
      </c>
      <c r="K34" s="10">
        <f t="shared" si="4"/>
        <v>112.74779059974787</v>
      </c>
      <c r="L34">
        <v>121.75</v>
      </c>
      <c r="M34">
        <f t="shared" si="5"/>
        <v>6.0874999999999999E-2</v>
      </c>
      <c r="N34" s="2">
        <f>M34*E34</f>
        <v>4914.3978496290329</v>
      </c>
      <c r="O34" s="8">
        <v>1.55</v>
      </c>
      <c r="P34" s="2">
        <f t="shared" si="6"/>
        <v>15.5</v>
      </c>
      <c r="Q34" s="10">
        <f t="shared" si="7"/>
        <v>76.173166669250008</v>
      </c>
      <c r="R34">
        <v>100.265</v>
      </c>
      <c r="S34">
        <f t="shared" si="8"/>
        <v>5.0132500000000003E-2</v>
      </c>
      <c r="T34" s="2">
        <f>S34*E34</f>
        <v>4047.1630422427515</v>
      </c>
      <c r="U34" s="8">
        <v>0.85</v>
      </c>
      <c r="V34" s="2">
        <f t="shared" si="9"/>
        <v>8.5</v>
      </c>
      <c r="W34" s="10">
        <f t="shared" si="10"/>
        <v>34.400885859063393</v>
      </c>
      <c r="X34">
        <v>176.3</v>
      </c>
      <c r="Y34">
        <f t="shared" si="11"/>
        <v>8.8150000000000006E-2</v>
      </c>
      <c r="Z34" s="2">
        <f>Y34*E34</f>
        <v>7116.2902742472161</v>
      </c>
      <c r="AA34">
        <v>1.07</v>
      </c>
      <c r="AB34" s="2">
        <f t="shared" si="12"/>
        <v>10.700000000000001</v>
      </c>
      <c r="AC34" s="10">
        <f t="shared" si="13"/>
        <v>76.144305934445214</v>
      </c>
      <c r="AD34" s="3">
        <f t="shared" si="14"/>
        <v>11163.453316489968</v>
      </c>
      <c r="AE34">
        <f t="shared" si="15"/>
        <v>110.54519179350861</v>
      </c>
    </row>
    <row r="35" spans="1:31" x14ac:dyDescent="0.35">
      <c r="A35">
        <v>234</v>
      </c>
      <c r="B35">
        <v>13</v>
      </c>
      <c r="C35">
        <f t="shared" si="0"/>
        <v>0.14067692307692309</v>
      </c>
      <c r="D35">
        <v>0.91439999999999999</v>
      </c>
      <c r="E35" s="2">
        <f t="shared" si="1"/>
        <v>77739.353009570215</v>
      </c>
      <c r="F35">
        <v>83.16</v>
      </c>
      <c r="G35" s="1">
        <f t="shared" si="2"/>
        <v>4.1579999999999999E-2</v>
      </c>
      <c r="H35" s="2">
        <f>E35*G35</f>
        <v>3232.4022981379294</v>
      </c>
      <c r="I35" s="8">
        <v>3.13</v>
      </c>
      <c r="J35" s="2">
        <f t="shared" si="3"/>
        <v>31.299999999999997</v>
      </c>
      <c r="K35" s="10">
        <f t="shared" si="4"/>
        <v>101.17419193171719</v>
      </c>
      <c r="L35">
        <v>106</v>
      </c>
      <c r="M35">
        <f t="shared" si="5"/>
        <v>5.2999999999999999E-2</v>
      </c>
      <c r="N35" s="2">
        <f>M35*E35</f>
        <v>4120.185709507221</v>
      </c>
      <c r="O35" s="8">
        <v>1.57</v>
      </c>
      <c r="P35" s="2">
        <f t="shared" si="6"/>
        <v>15.700000000000001</v>
      </c>
      <c r="Q35" s="10">
        <f t="shared" si="7"/>
        <v>64.686915639263376</v>
      </c>
      <c r="R35">
        <v>113.95</v>
      </c>
      <c r="S35">
        <f t="shared" si="8"/>
        <v>5.6975000000000005E-2</v>
      </c>
      <c r="T35" s="2">
        <f>S35*E35</f>
        <v>4429.1996377202631</v>
      </c>
      <c r="U35" s="8">
        <v>0.74</v>
      </c>
      <c r="V35" s="2">
        <f t="shared" si="9"/>
        <v>7.4</v>
      </c>
      <c r="W35" s="10">
        <f t="shared" si="10"/>
        <v>32.776077319129953</v>
      </c>
      <c r="X35">
        <v>203.83</v>
      </c>
      <c r="Y35">
        <f t="shared" si="11"/>
        <v>0.10191500000000001</v>
      </c>
      <c r="Z35" s="2">
        <f>Y35*E35</f>
        <v>7922.8061619703485</v>
      </c>
      <c r="AA35">
        <v>1.39</v>
      </c>
      <c r="AB35" s="2">
        <f t="shared" si="12"/>
        <v>13.899999999999999</v>
      </c>
      <c r="AC35" s="10">
        <f t="shared" si="13"/>
        <v>110.12700565138783</v>
      </c>
      <c r="AD35" s="3">
        <f t="shared" si="14"/>
        <v>12352.005799690611</v>
      </c>
      <c r="AE35">
        <f t="shared" si="15"/>
        <v>142.9030829705178</v>
      </c>
    </row>
    <row r="36" spans="1:31" x14ac:dyDescent="0.35">
      <c r="A36">
        <v>235</v>
      </c>
      <c r="B36">
        <v>16</v>
      </c>
      <c r="C36">
        <f t="shared" si="0"/>
        <v>0.1143</v>
      </c>
      <c r="D36">
        <v>0.91439999999999999</v>
      </c>
      <c r="E36" s="2">
        <f t="shared" si="1"/>
        <v>95679.203704086423</v>
      </c>
      <c r="F36">
        <v>110.56</v>
      </c>
      <c r="G36" s="1">
        <f t="shared" si="2"/>
        <v>5.5280000000000003E-2</v>
      </c>
      <c r="H36" s="2">
        <f>E36*G36</f>
        <v>5289.1463807618975</v>
      </c>
      <c r="I36" s="8">
        <v>2.75</v>
      </c>
      <c r="J36" s="2">
        <f t="shared" si="3"/>
        <v>27.5</v>
      </c>
      <c r="K36" s="10">
        <f t="shared" si="4"/>
        <v>145.45152547095219</v>
      </c>
      <c r="L36">
        <v>111.65</v>
      </c>
      <c r="M36">
        <f t="shared" si="5"/>
        <v>5.5825E-2</v>
      </c>
      <c r="N36" s="2">
        <f>M36*E36</f>
        <v>5341.2915467806242</v>
      </c>
      <c r="O36" s="8">
        <v>1.79</v>
      </c>
      <c r="P36" s="2">
        <f t="shared" si="6"/>
        <v>17.899999999999999</v>
      </c>
      <c r="Q36" s="10">
        <f t="shared" si="7"/>
        <v>95.609118687373169</v>
      </c>
      <c r="R36">
        <v>87.355000000000004</v>
      </c>
      <c r="S36">
        <f t="shared" si="8"/>
        <v>4.3677500000000001E-2</v>
      </c>
      <c r="T36" s="2">
        <f>S36*E36</f>
        <v>4179.0284197852352</v>
      </c>
      <c r="U36" s="8">
        <v>0.74</v>
      </c>
      <c r="V36" s="2">
        <f t="shared" si="9"/>
        <v>7.4</v>
      </c>
      <c r="W36" s="10">
        <f t="shared" si="10"/>
        <v>30.924810306410741</v>
      </c>
      <c r="X36">
        <v>145.86000000000001</v>
      </c>
      <c r="Y36">
        <f t="shared" si="11"/>
        <v>7.2930000000000009E-2</v>
      </c>
      <c r="Z36" s="2">
        <f>Y36*E36</f>
        <v>6977.8843261390239</v>
      </c>
      <c r="AA36">
        <v>1.08</v>
      </c>
      <c r="AB36" s="2">
        <f t="shared" si="12"/>
        <v>10.8</v>
      </c>
      <c r="AC36" s="10">
        <f t="shared" si="13"/>
        <v>75.36115072230146</v>
      </c>
      <c r="AD36" s="3">
        <f t="shared" si="14"/>
        <v>11156.912745924259</v>
      </c>
      <c r="AE36">
        <f t="shared" si="15"/>
        <v>106.28596102871219</v>
      </c>
    </row>
    <row r="37" spans="1:31" x14ac:dyDescent="0.35">
      <c r="A37">
        <v>236</v>
      </c>
      <c r="B37">
        <v>13.5</v>
      </c>
      <c r="C37">
        <f t="shared" si="0"/>
        <v>0.13546666666666665</v>
      </c>
      <c r="D37">
        <v>0.91439999999999999</v>
      </c>
      <c r="E37" s="2">
        <f t="shared" si="1"/>
        <v>80729.328125322922</v>
      </c>
      <c r="F37">
        <v>54.4</v>
      </c>
      <c r="G37" s="1">
        <f t="shared" si="2"/>
        <v>2.7199999999999998E-2</v>
      </c>
      <c r="H37" s="2">
        <f>E37*G37</f>
        <v>2195.8377250087833</v>
      </c>
      <c r="I37" s="8">
        <v>2.67</v>
      </c>
      <c r="J37" s="2">
        <f t="shared" si="3"/>
        <v>26.7</v>
      </c>
      <c r="K37" s="10">
        <f t="shared" si="4"/>
        <v>58.628867257734512</v>
      </c>
      <c r="L37">
        <v>97.3</v>
      </c>
      <c r="M37">
        <f t="shared" si="5"/>
        <v>4.8649999999999999E-2</v>
      </c>
      <c r="N37" s="2">
        <f>M37*E37</f>
        <v>3927.4818132969599</v>
      </c>
      <c r="O37" s="8">
        <v>1.65</v>
      </c>
      <c r="P37" s="2">
        <f t="shared" si="6"/>
        <v>16.5</v>
      </c>
      <c r="Q37" s="10">
        <f t="shared" si="7"/>
        <v>64.803449919399839</v>
      </c>
      <c r="R37">
        <v>92.424999999999997</v>
      </c>
      <c r="S37">
        <f t="shared" si="8"/>
        <v>4.6212499999999997E-2</v>
      </c>
      <c r="T37" s="2">
        <f>S37*E37</f>
        <v>3730.7040759914853</v>
      </c>
      <c r="U37" s="8">
        <v>1.1599999999999999</v>
      </c>
      <c r="V37" s="2">
        <f t="shared" si="9"/>
        <v>11.6</v>
      </c>
      <c r="W37" s="10">
        <f t="shared" si="10"/>
        <v>43.27616728150123</v>
      </c>
      <c r="X37">
        <v>171.41</v>
      </c>
      <c r="Y37">
        <f t="shared" si="11"/>
        <v>8.5705000000000003E-2</v>
      </c>
      <c r="Z37" s="2">
        <f>Y37*E37</f>
        <v>6918.9070669808016</v>
      </c>
      <c r="AA37">
        <v>1.01</v>
      </c>
      <c r="AB37" s="2">
        <f t="shared" si="12"/>
        <v>10.1</v>
      </c>
      <c r="AC37" s="10">
        <f t="shared" si="13"/>
        <v>69.880961376506093</v>
      </c>
      <c r="AD37" s="3">
        <f t="shared" si="14"/>
        <v>10649.611142972288</v>
      </c>
      <c r="AE37">
        <f t="shared" si="15"/>
        <v>113.15712865800732</v>
      </c>
    </row>
    <row r="38" spans="1:31" x14ac:dyDescent="0.35">
      <c r="A38">
        <v>237</v>
      </c>
      <c r="B38">
        <v>13</v>
      </c>
      <c r="C38">
        <f t="shared" si="0"/>
        <v>0.14067692307692309</v>
      </c>
      <c r="D38">
        <v>0.91439999999999999</v>
      </c>
      <c r="E38" s="2">
        <f t="shared" si="1"/>
        <v>77739.353009570215</v>
      </c>
      <c r="F38">
        <v>62</v>
      </c>
      <c r="G38" s="1">
        <f t="shared" si="2"/>
        <v>3.1E-2</v>
      </c>
      <c r="H38" s="2">
        <f>E38*G38</f>
        <v>2409.9199432966766</v>
      </c>
      <c r="I38" s="8">
        <v>2.6</v>
      </c>
      <c r="J38" s="2">
        <f t="shared" si="3"/>
        <v>26</v>
      </c>
      <c r="K38" s="10">
        <f t="shared" si="4"/>
        <v>62.65791852571359</v>
      </c>
      <c r="L38">
        <v>89.1</v>
      </c>
      <c r="M38">
        <f t="shared" si="5"/>
        <v>4.4549999999999999E-2</v>
      </c>
      <c r="N38" s="2">
        <f>M38*E38</f>
        <v>3463.2881765763532</v>
      </c>
      <c r="O38" s="8">
        <v>2.2599999999999998</v>
      </c>
      <c r="P38" s="2">
        <f t="shared" si="6"/>
        <v>22.599999999999998</v>
      </c>
      <c r="Q38" s="10">
        <f t="shared" si="7"/>
        <v>78.270312790625567</v>
      </c>
      <c r="R38">
        <v>63</v>
      </c>
      <c r="S38">
        <f t="shared" si="8"/>
        <v>3.15E-2</v>
      </c>
      <c r="T38" s="2">
        <f>S38*E38</f>
        <v>2448.7896198014619</v>
      </c>
      <c r="U38" s="8">
        <v>1.41</v>
      </c>
      <c r="V38" s="2">
        <f t="shared" si="9"/>
        <v>14.1</v>
      </c>
      <c r="W38" s="10">
        <f t="shared" si="10"/>
        <v>34.527933639200612</v>
      </c>
      <c r="X38">
        <v>88.325000000000003</v>
      </c>
      <c r="Y38">
        <f t="shared" si="11"/>
        <v>4.41625E-2</v>
      </c>
      <c r="Z38" s="2">
        <f>Y38*E38</f>
        <v>3433.1641772851449</v>
      </c>
      <c r="AA38">
        <v>1.32</v>
      </c>
      <c r="AB38" s="2">
        <f t="shared" si="12"/>
        <v>13.200000000000001</v>
      </c>
      <c r="AC38" s="10">
        <f t="shared" si="13"/>
        <v>45.317767140163916</v>
      </c>
      <c r="AD38" s="3">
        <f t="shared" si="14"/>
        <v>5881.9537970866068</v>
      </c>
      <c r="AE38">
        <f t="shared" si="15"/>
        <v>79.845700779364535</v>
      </c>
    </row>
    <row r="39" spans="1:31" x14ac:dyDescent="0.35">
      <c r="A39">
        <v>238</v>
      </c>
      <c r="B39">
        <v>15</v>
      </c>
      <c r="C39">
        <f t="shared" si="0"/>
        <v>0.12192</v>
      </c>
      <c r="D39">
        <v>0.91439999999999999</v>
      </c>
      <c r="E39" s="2">
        <f t="shared" si="1"/>
        <v>89699.253472581011</v>
      </c>
      <c r="F39">
        <v>55.4</v>
      </c>
      <c r="G39" s="1">
        <f t="shared" si="2"/>
        <v>2.7699999999999999E-2</v>
      </c>
      <c r="H39" s="2">
        <f>E39*G39</f>
        <v>2484.669321190494</v>
      </c>
      <c r="I39" s="8">
        <v>2.69</v>
      </c>
      <c r="J39" s="2">
        <f t="shared" si="3"/>
        <v>26.9</v>
      </c>
      <c r="K39" s="10">
        <f t="shared" si="4"/>
        <v>66.837604740024275</v>
      </c>
      <c r="L39">
        <v>77.150000000000006</v>
      </c>
      <c r="M39">
        <f t="shared" si="5"/>
        <v>3.8575000000000005E-2</v>
      </c>
      <c r="N39" s="2">
        <f>M39*E39</f>
        <v>3460.1487027048129</v>
      </c>
      <c r="O39" s="8">
        <v>1.76</v>
      </c>
      <c r="P39" s="2">
        <f t="shared" si="6"/>
        <v>17.600000000000001</v>
      </c>
      <c r="Q39" s="10">
        <f t="shared" si="7"/>
        <v>60.898617167604712</v>
      </c>
      <c r="R39">
        <v>61.215000000000003</v>
      </c>
      <c r="S39">
        <f t="shared" si="8"/>
        <v>3.0607500000000003E-2</v>
      </c>
      <c r="T39" s="2">
        <f>S39*E39</f>
        <v>2745.4699006620235</v>
      </c>
      <c r="U39" s="8">
        <v>0.85</v>
      </c>
      <c r="V39" s="2">
        <f t="shared" si="9"/>
        <v>8.5</v>
      </c>
      <c r="W39" s="10">
        <f t="shared" si="10"/>
        <v>23.3364941556272</v>
      </c>
      <c r="X39">
        <v>114.03</v>
      </c>
      <c r="Y39">
        <f t="shared" si="11"/>
        <v>5.7015000000000003E-2</v>
      </c>
      <c r="Z39" s="2">
        <f>Y39*E39</f>
        <v>5114.202936739207</v>
      </c>
      <c r="AA39">
        <v>1.29</v>
      </c>
      <c r="AB39" s="2">
        <f t="shared" si="12"/>
        <v>12.9</v>
      </c>
      <c r="AC39" s="10">
        <f t="shared" si="13"/>
        <v>65.97321788393576</v>
      </c>
      <c r="AD39" s="3">
        <f t="shared" si="14"/>
        <v>7859.6728374012309</v>
      </c>
      <c r="AE39">
        <f t="shared" si="15"/>
        <v>89.309712039562953</v>
      </c>
    </row>
    <row r="40" spans="1:31" x14ac:dyDescent="0.35">
      <c r="A40">
        <v>239</v>
      </c>
      <c r="B40">
        <v>13</v>
      </c>
      <c r="C40">
        <f t="shared" si="0"/>
        <v>0.14067692307692309</v>
      </c>
      <c r="D40">
        <v>0.91439999999999999</v>
      </c>
      <c r="E40" s="2">
        <f t="shared" si="1"/>
        <v>77739.353009570215</v>
      </c>
      <c r="F40">
        <v>66</v>
      </c>
      <c r="G40" s="1">
        <f t="shared" si="2"/>
        <v>3.3000000000000002E-2</v>
      </c>
      <c r="H40" s="2">
        <f>E40*G40</f>
        <v>2565.3986493158172</v>
      </c>
      <c r="I40" s="8">
        <v>2.82</v>
      </c>
      <c r="J40" s="2">
        <f t="shared" si="3"/>
        <v>28.2</v>
      </c>
      <c r="K40" s="10">
        <f t="shared" si="4"/>
        <v>72.344241910706046</v>
      </c>
      <c r="L40">
        <v>78.78</v>
      </c>
      <c r="M40">
        <f t="shared" si="5"/>
        <v>3.9390000000000001E-2</v>
      </c>
      <c r="N40" s="2">
        <f>M40*E40</f>
        <v>3062.1531150469709</v>
      </c>
      <c r="O40" s="8">
        <v>2.2799999999999998</v>
      </c>
      <c r="P40" s="2">
        <f t="shared" si="6"/>
        <v>22.799999999999997</v>
      </c>
      <c r="Q40" s="10">
        <f t="shared" si="7"/>
        <v>69.81709102307093</v>
      </c>
      <c r="R40">
        <v>145.76</v>
      </c>
      <c r="S40">
        <f t="shared" si="8"/>
        <v>7.288E-2</v>
      </c>
      <c r="T40" s="2">
        <f>S40*E40</f>
        <v>5665.6440473374769</v>
      </c>
      <c r="U40" s="8">
        <v>1.19</v>
      </c>
      <c r="V40" s="2">
        <f t="shared" si="9"/>
        <v>11.899999999999999</v>
      </c>
      <c r="W40" s="10">
        <f t="shared" si="10"/>
        <v>67.421164163315964</v>
      </c>
      <c r="X40">
        <v>120.2</v>
      </c>
      <c r="Y40">
        <f t="shared" si="11"/>
        <v>6.0100000000000001E-2</v>
      </c>
      <c r="Z40" s="2">
        <f>Y40*E40</f>
        <v>4672.1351158751704</v>
      </c>
      <c r="AA40">
        <v>1.4</v>
      </c>
      <c r="AB40" s="2">
        <f t="shared" si="12"/>
        <v>14</v>
      </c>
      <c r="AC40" s="10">
        <f t="shared" si="13"/>
        <v>65.409891622252388</v>
      </c>
      <c r="AD40" s="3">
        <f t="shared" si="14"/>
        <v>10337.779163212646</v>
      </c>
      <c r="AE40">
        <f t="shared" si="15"/>
        <v>132.83105578556837</v>
      </c>
    </row>
    <row r="41" spans="1:31" x14ac:dyDescent="0.35">
      <c r="A41">
        <v>240</v>
      </c>
      <c r="B41">
        <v>13.5</v>
      </c>
      <c r="C41">
        <f t="shared" si="0"/>
        <v>0.13546666666666665</v>
      </c>
      <c r="D41">
        <v>0.91439999999999999</v>
      </c>
      <c r="E41" s="2">
        <f t="shared" si="1"/>
        <v>80729.328125322922</v>
      </c>
      <c r="F41">
        <v>25.3</v>
      </c>
      <c r="G41" s="1">
        <f t="shared" si="2"/>
        <v>1.265E-2</v>
      </c>
      <c r="H41" s="2">
        <f>E41*G41</f>
        <v>1021.2260007853349</v>
      </c>
      <c r="I41" s="8">
        <v>2.36</v>
      </c>
      <c r="J41" s="2">
        <f t="shared" si="3"/>
        <v>23.599999999999998</v>
      </c>
      <c r="K41" s="10">
        <f t="shared" si="4"/>
        <v>24.100933618533901</v>
      </c>
      <c r="L41">
        <v>38.65</v>
      </c>
      <c r="M41">
        <f t="shared" si="5"/>
        <v>1.9324999999999998E-2</v>
      </c>
      <c r="N41" s="2">
        <f>M41*E41</f>
        <v>1560.0942660218652</v>
      </c>
      <c r="O41" s="8">
        <v>2.09</v>
      </c>
      <c r="P41" s="2">
        <f t="shared" si="6"/>
        <v>20.9</v>
      </c>
      <c r="Q41" s="10">
        <f t="shared" si="7"/>
        <v>32.60597015985698</v>
      </c>
      <c r="R41">
        <v>30.88</v>
      </c>
      <c r="S41">
        <f t="shared" si="8"/>
        <v>1.5439999999999999E-2</v>
      </c>
      <c r="T41" s="2">
        <f>S41*E41</f>
        <v>1246.4608262549857</v>
      </c>
      <c r="U41" s="8">
        <v>1.33</v>
      </c>
      <c r="V41" s="2">
        <f t="shared" si="9"/>
        <v>13.3</v>
      </c>
      <c r="W41" s="10">
        <f t="shared" si="10"/>
        <v>16.57792898919131</v>
      </c>
      <c r="X41">
        <v>45.32</v>
      </c>
      <c r="Y41">
        <f t="shared" si="11"/>
        <v>2.266E-2</v>
      </c>
      <c r="Z41" s="2">
        <f>Y41*E41</f>
        <v>1829.3265753198173</v>
      </c>
      <c r="AA41">
        <v>1.33</v>
      </c>
      <c r="AB41" s="2">
        <f t="shared" si="12"/>
        <v>13.3</v>
      </c>
      <c r="AC41" s="10">
        <f t="shared" si="13"/>
        <v>24.330043451753571</v>
      </c>
      <c r="AD41" s="3">
        <f t="shared" si="14"/>
        <v>3075.787401574803</v>
      </c>
      <c r="AE41">
        <f t="shared" si="15"/>
        <v>40.907972440944881</v>
      </c>
    </row>
    <row r="42" spans="1:31" x14ac:dyDescent="0.35">
      <c r="A42">
        <v>241</v>
      </c>
      <c r="B42">
        <v>14</v>
      </c>
      <c r="C42">
        <f t="shared" si="0"/>
        <v>0.13062857142857143</v>
      </c>
      <c r="D42">
        <v>0.91439999999999999</v>
      </c>
      <c r="E42" s="2">
        <f t="shared" si="1"/>
        <v>83719.303241075628</v>
      </c>
      <c r="F42">
        <v>88.2</v>
      </c>
      <c r="G42" s="1">
        <f t="shared" si="2"/>
        <v>4.41E-2</v>
      </c>
      <c r="H42" s="2">
        <f>E42*G42</f>
        <v>3692.0212729314353</v>
      </c>
      <c r="I42" s="8">
        <v>2.64</v>
      </c>
      <c r="J42" s="2">
        <f t="shared" si="3"/>
        <v>26.400000000000002</v>
      </c>
      <c r="K42" s="10">
        <f t="shared" si="4"/>
        <v>97.469361605389906</v>
      </c>
      <c r="L42">
        <v>116.75</v>
      </c>
      <c r="M42">
        <f t="shared" si="5"/>
        <v>5.8375000000000003E-2</v>
      </c>
      <c r="N42" s="2">
        <f>M42*E42</f>
        <v>4887.1143266977897</v>
      </c>
      <c r="O42" s="8">
        <v>2.11</v>
      </c>
      <c r="P42" s="2">
        <f t="shared" si="6"/>
        <v>21.099999999999998</v>
      </c>
      <c r="Q42" s="10">
        <f t="shared" si="7"/>
        <v>103.11811229332335</v>
      </c>
      <c r="R42">
        <v>125</v>
      </c>
      <c r="S42">
        <f t="shared" si="8"/>
        <v>6.25E-2</v>
      </c>
      <c r="T42" s="2">
        <f>S42*E42</f>
        <v>5232.4564525672267</v>
      </c>
      <c r="U42" s="8">
        <v>1.24</v>
      </c>
      <c r="V42" s="2">
        <f t="shared" si="9"/>
        <v>12.4</v>
      </c>
      <c r="W42" s="10">
        <f t="shared" si="10"/>
        <v>64.882460011833615</v>
      </c>
      <c r="X42">
        <v>198.09</v>
      </c>
      <c r="Y42">
        <f t="shared" si="11"/>
        <v>9.9045000000000008E-2</v>
      </c>
      <c r="Z42" s="2">
        <f>Y42*E42</f>
        <v>8291.9783895123364</v>
      </c>
      <c r="AA42">
        <v>1.29</v>
      </c>
      <c r="AB42" s="2">
        <f t="shared" si="12"/>
        <v>12.9</v>
      </c>
      <c r="AC42" s="10">
        <f t="shared" si="13"/>
        <v>106.96652122470914</v>
      </c>
      <c r="AD42" s="3">
        <f t="shared" si="14"/>
        <v>13524.434842079563</v>
      </c>
      <c r="AE42">
        <f t="shared" si="15"/>
        <v>171.84898123654276</v>
      </c>
    </row>
    <row r="43" spans="1:31" x14ac:dyDescent="0.35">
      <c r="A43">
        <v>242</v>
      </c>
      <c r="B43">
        <v>15.5</v>
      </c>
      <c r="C43">
        <f t="shared" si="0"/>
        <v>0.11798709677419354</v>
      </c>
      <c r="D43">
        <v>0.91439999999999999</v>
      </c>
      <c r="E43" s="2">
        <f t="shared" si="1"/>
        <v>92689.228588333717</v>
      </c>
      <c r="F43">
        <v>73.5</v>
      </c>
      <c r="G43" s="1">
        <f t="shared" si="2"/>
        <v>3.6749999999999998E-2</v>
      </c>
      <c r="H43" s="2">
        <f>E43*G43</f>
        <v>3406.329150621264</v>
      </c>
      <c r="I43" s="8">
        <v>2.3199999999999998</v>
      </c>
      <c r="J43" s="2">
        <f t="shared" si="3"/>
        <v>23.2</v>
      </c>
      <c r="K43" s="10">
        <f t="shared" si="4"/>
        <v>79.026836294413329</v>
      </c>
      <c r="L43">
        <v>129</v>
      </c>
      <c r="M43">
        <f t="shared" si="5"/>
        <v>6.4500000000000002E-2</v>
      </c>
      <c r="N43" s="2">
        <f>M43*E43</f>
        <v>5978.4552439475247</v>
      </c>
      <c r="O43" s="8">
        <v>2.35</v>
      </c>
      <c r="P43" s="2">
        <f t="shared" si="6"/>
        <v>23.5</v>
      </c>
      <c r="Q43" s="10">
        <f t="shared" si="7"/>
        <v>140.49369823276683</v>
      </c>
      <c r="R43">
        <v>123.95</v>
      </c>
      <c r="S43">
        <f t="shared" si="8"/>
        <v>6.1975000000000002E-2</v>
      </c>
      <c r="T43" s="2">
        <f>S43*E43</f>
        <v>5744.4149417619819</v>
      </c>
      <c r="U43" s="8">
        <v>1.58</v>
      </c>
      <c r="V43" s="2">
        <f t="shared" si="9"/>
        <v>15.8</v>
      </c>
      <c r="W43" s="10">
        <f t="shared" si="10"/>
        <v>90.76175607983933</v>
      </c>
      <c r="X43">
        <v>191.13</v>
      </c>
      <c r="Y43">
        <f t="shared" si="11"/>
        <v>9.5564999999999997E-2</v>
      </c>
      <c r="Z43" s="2">
        <f>Y43*E43</f>
        <v>8857.8461300441122</v>
      </c>
      <c r="AA43">
        <v>1.31</v>
      </c>
      <c r="AB43" s="2">
        <f t="shared" si="12"/>
        <v>13.100000000000001</v>
      </c>
      <c r="AC43" s="10">
        <f t="shared" si="13"/>
        <v>116.03778430357788</v>
      </c>
      <c r="AD43" s="3">
        <f t="shared" si="14"/>
        <v>14602.261071806093</v>
      </c>
      <c r="AE43">
        <f t="shared" si="15"/>
        <v>206.7995403834172</v>
      </c>
    </row>
    <row r="44" spans="1:31" x14ac:dyDescent="0.35">
      <c r="A44">
        <v>243</v>
      </c>
      <c r="B44">
        <v>13</v>
      </c>
      <c r="C44">
        <f t="shared" si="0"/>
        <v>0.14067692307692309</v>
      </c>
      <c r="D44">
        <v>0.91439999999999999</v>
      </c>
      <c r="E44" s="2">
        <f t="shared" si="1"/>
        <v>77739.353009570215</v>
      </c>
      <c r="F44">
        <v>75</v>
      </c>
      <c r="G44" s="1">
        <f t="shared" si="2"/>
        <v>3.7499999999999999E-2</v>
      </c>
      <c r="H44" s="2">
        <f>E44*G44</f>
        <v>2915.2257378588829</v>
      </c>
      <c r="I44" s="8">
        <v>2.62</v>
      </c>
      <c r="J44" s="2">
        <f t="shared" si="3"/>
        <v>26.200000000000003</v>
      </c>
      <c r="K44" s="10">
        <f t="shared" si="4"/>
        <v>76.378914331902735</v>
      </c>
      <c r="L44">
        <v>141</v>
      </c>
      <c r="M44">
        <f t="shared" si="5"/>
        <v>7.0499999999999993E-2</v>
      </c>
      <c r="N44" s="2">
        <f>M44*E44</f>
        <v>5480.6243871746992</v>
      </c>
      <c r="O44" s="8">
        <v>2.4500000000000002</v>
      </c>
      <c r="P44" s="2">
        <f t="shared" si="6"/>
        <v>24.5</v>
      </c>
      <c r="Q44" s="10">
        <f t="shared" si="7"/>
        <v>134.27529748578016</v>
      </c>
      <c r="R44">
        <v>95</v>
      </c>
      <c r="S44">
        <f t="shared" si="8"/>
        <v>4.7500000000000001E-2</v>
      </c>
      <c r="T44" s="2">
        <f>S44*E44</f>
        <v>3692.6192679545852</v>
      </c>
      <c r="U44" s="8">
        <v>1.1599999999999999</v>
      </c>
      <c r="V44" s="2">
        <f t="shared" si="9"/>
        <v>11.6</v>
      </c>
      <c r="W44" s="10">
        <f t="shared" si="10"/>
        <v>42.834383508273191</v>
      </c>
      <c r="X44">
        <v>177</v>
      </c>
      <c r="Y44">
        <f t="shared" si="11"/>
        <v>8.8499999999999995E-2</v>
      </c>
      <c r="Z44" s="2">
        <f>Y44*E44</f>
        <v>6879.9327413469637</v>
      </c>
      <c r="AA44">
        <v>1.21</v>
      </c>
      <c r="AB44" s="2">
        <f t="shared" si="12"/>
        <v>12.1</v>
      </c>
      <c r="AC44" s="10">
        <f t="shared" si="13"/>
        <v>83.247186170298264</v>
      </c>
      <c r="AD44" s="3">
        <f t="shared" si="14"/>
        <v>10572.552009301549</v>
      </c>
      <c r="AE44">
        <f t="shared" si="15"/>
        <v>126.08156967857146</v>
      </c>
    </row>
    <row r="45" spans="1:31" x14ac:dyDescent="0.35">
      <c r="A45">
        <v>244</v>
      </c>
      <c r="B45">
        <v>14.5</v>
      </c>
      <c r="C45">
        <f t="shared" si="0"/>
        <v>0.12612413793103447</v>
      </c>
      <c r="D45">
        <v>0.91439999999999999</v>
      </c>
      <c r="E45" s="2">
        <f t="shared" si="1"/>
        <v>86709.278356828319</v>
      </c>
      <c r="F45">
        <v>31.4</v>
      </c>
      <c r="G45" s="1">
        <f t="shared" si="2"/>
        <v>1.5699999999999999E-2</v>
      </c>
      <c r="H45" s="2">
        <f>E45*G45</f>
        <v>1361.3356702022045</v>
      </c>
      <c r="I45" s="8">
        <v>2.87</v>
      </c>
      <c r="J45" s="2">
        <f t="shared" si="3"/>
        <v>28.700000000000003</v>
      </c>
      <c r="K45" s="10">
        <f t="shared" si="4"/>
        <v>39.07033373480327</v>
      </c>
      <c r="L45">
        <v>61.74</v>
      </c>
      <c r="M45">
        <f t="shared" si="5"/>
        <v>3.0870000000000002E-2</v>
      </c>
      <c r="N45" s="2">
        <f>M45*E45</f>
        <v>2676.7154228752902</v>
      </c>
      <c r="O45" s="8">
        <v>1.75</v>
      </c>
      <c r="P45" s="2">
        <f t="shared" si="6"/>
        <v>17.5</v>
      </c>
      <c r="Q45" s="10">
        <f t="shared" si="7"/>
        <v>46.842519900317583</v>
      </c>
      <c r="R45">
        <v>95.295000000000002</v>
      </c>
      <c r="S45">
        <f t="shared" si="8"/>
        <v>4.7647500000000002E-2</v>
      </c>
      <c r="T45" s="2">
        <f>S45*E45</f>
        <v>4131.4803405069779</v>
      </c>
      <c r="U45" s="8">
        <v>1.1200000000000001</v>
      </c>
      <c r="V45" s="2">
        <f t="shared" si="9"/>
        <v>11.200000000000001</v>
      </c>
      <c r="W45" s="10">
        <f t="shared" si="10"/>
        <v>46.272579813678156</v>
      </c>
      <c r="X45">
        <v>175</v>
      </c>
      <c r="Y45">
        <f t="shared" si="11"/>
        <v>8.7499999999999994E-2</v>
      </c>
      <c r="Z45" s="2">
        <f>Y45*E45</f>
        <v>7587.0618562224772</v>
      </c>
      <c r="AA45">
        <v>1.1299999999999999</v>
      </c>
      <c r="AB45" s="2">
        <f t="shared" si="12"/>
        <v>11.299999999999999</v>
      </c>
      <c r="AC45" s="10">
        <f t="shared" si="13"/>
        <v>85.733798975313988</v>
      </c>
      <c r="AD45" s="3">
        <f t="shared" si="14"/>
        <v>11718.542196729455</v>
      </c>
      <c r="AE45">
        <f t="shared" si="15"/>
        <v>132.00637878899215</v>
      </c>
    </row>
    <row r="46" spans="1:31" x14ac:dyDescent="0.35">
      <c r="A46">
        <v>245</v>
      </c>
      <c r="B46">
        <v>15</v>
      </c>
      <c r="C46">
        <f t="shared" si="0"/>
        <v>0.12192</v>
      </c>
      <c r="D46">
        <v>0.91439999999999999</v>
      </c>
      <c r="E46" s="2">
        <f t="shared" si="1"/>
        <v>89699.253472581011</v>
      </c>
      <c r="F46">
        <v>60.4</v>
      </c>
      <c r="G46" s="1">
        <f t="shared" si="2"/>
        <v>3.0199999999999998E-2</v>
      </c>
      <c r="H46" s="2">
        <f>E46*G46</f>
        <v>2708.9174548719461</v>
      </c>
      <c r="I46" s="8">
        <v>2.97</v>
      </c>
      <c r="J46" s="2">
        <f t="shared" si="3"/>
        <v>29.700000000000003</v>
      </c>
      <c r="K46" s="10">
        <f t="shared" si="4"/>
        <v>80.454848409696808</v>
      </c>
      <c r="L46">
        <v>111</v>
      </c>
      <c r="M46">
        <f t="shared" si="5"/>
        <v>5.5500000000000001E-2</v>
      </c>
      <c r="N46" s="2">
        <f>M46*E46</f>
        <v>4978.3085677282461</v>
      </c>
      <c r="O46" s="8">
        <v>2.37</v>
      </c>
      <c r="P46" s="2">
        <f t="shared" si="6"/>
        <v>23.700000000000003</v>
      </c>
      <c r="Q46" s="10">
        <f t="shared" si="7"/>
        <v>117.98591305515944</v>
      </c>
      <c r="R46">
        <v>66.239999999999995</v>
      </c>
      <c r="S46">
        <f t="shared" si="8"/>
        <v>3.3119999999999997E-2</v>
      </c>
      <c r="T46" s="2">
        <f>S46*E46</f>
        <v>2970.8392750118828</v>
      </c>
      <c r="U46" s="8">
        <v>1.03</v>
      </c>
      <c r="V46" s="2">
        <f t="shared" si="9"/>
        <v>10.3</v>
      </c>
      <c r="W46" s="10">
        <f t="shared" si="10"/>
        <v>30.599644532622396</v>
      </c>
      <c r="X46">
        <v>117</v>
      </c>
      <c r="Y46">
        <f t="shared" si="11"/>
        <v>5.8500000000000003E-2</v>
      </c>
      <c r="Z46" s="2">
        <f>Y46*E46</f>
        <v>5247.4063281459894</v>
      </c>
      <c r="AA46">
        <v>0.7</v>
      </c>
      <c r="AB46" s="2">
        <f t="shared" si="12"/>
        <v>7</v>
      </c>
      <c r="AC46" s="10">
        <f t="shared" si="13"/>
        <v>36.731844297021922</v>
      </c>
      <c r="AD46" s="3">
        <f t="shared" si="14"/>
        <v>8218.2456031578731</v>
      </c>
      <c r="AE46">
        <f t="shared" si="15"/>
        <v>67.331488829644314</v>
      </c>
    </row>
    <row r="47" spans="1:31" x14ac:dyDescent="0.35">
      <c r="A47">
        <v>246</v>
      </c>
      <c r="B47">
        <v>15</v>
      </c>
      <c r="C47">
        <f t="shared" si="0"/>
        <v>0.12192</v>
      </c>
      <c r="D47">
        <v>0.91439999999999999</v>
      </c>
      <c r="E47" s="2">
        <f t="shared" si="1"/>
        <v>89699.253472581011</v>
      </c>
      <c r="F47">
        <v>102.3</v>
      </c>
      <c r="G47" s="1">
        <f t="shared" si="2"/>
        <v>5.1150000000000001E-2</v>
      </c>
      <c r="H47" s="2">
        <f>E47*G47</f>
        <v>4588.1168151225193</v>
      </c>
      <c r="I47" s="8">
        <v>2.82</v>
      </c>
      <c r="J47" s="2">
        <f t="shared" si="3"/>
        <v>28.2</v>
      </c>
      <c r="K47" s="10">
        <f t="shared" si="4"/>
        <v>129.38489418645506</v>
      </c>
      <c r="L47">
        <v>143.25</v>
      </c>
      <c r="M47">
        <f t="shared" si="5"/>
        <v>7.1624999999999994E-2</v>
      </c>
      <c r="N47" s="2">
        <f>M47*E47</f>
        <v>6424.7090299736146</v>
      </c>
      <c r="O47" s="8">
        <v>2.56</v>
      </c>
      <c r="P47" s="2">
        <f t="shared" si="6"/>
        <v>25.6</v>
      </c>
      <c r="Q47" s="10">
        <f t="shared" si="7"/>
        <v>164.47255116732453</v>
      </c>
      <c r="R47">
        <v>150.16499999999999</v>
      </c>
      <c r="S47">
        <f t="shared" si="8"/>
        <v>7.5082499999999996E-2</v>
      </c>
      <c r="T47" s="2">
        <f>S47*E47</f>
        <v>6734.844198855063</v>
      </c>
      <c r="U47" s="8">
        <v>1.21</v>
      </c>
      <c r="V47" s="2">
        <f t="shared" si="9"/>
        <v>12.1</v>
      </c>
      <c r="W47" s="10">
        <f t="shared" si="10"/>
        <v>81.491614806146259</v>
      </c>
      <c r="X47">
        <v>211.95</v>
      </c>
      <c r="Y47">
        <f t="shared" si="11"/>
        <v>0.105975</v>
      </c>
      <c r="Z47" s="2">
        <f>Y47*E47</f>
        <v>9505.8783867567727</v>
      </c>
      <c r="AA47">
        <v>1.24</v>
      </c>
      <c r="AB47" s="2">
        <f t="shared" si="12"/>
        <v>12.4</v>
      </c>
      <c r="AC47" s="10">
        <f t="shared" si="13"/>
        <v>117.87289199578399</v>
      </c>
      <c r="AD47" s="3">
        <f t="shared" si="14"/>
        <v>16240.722585611835</v>
      </c>
      <c r="AE47">
        <f t="shared" si="15"/>
        <v>199.36450680193025</v>
      </c>
    </row>
    <row r="48" spans="1:31" x14ac:dyDescent="0.35">
      <c r="A48">
        <v>247</v>
      </c>
      <c r="B48">
        <v>15</v>
      </c>
      <c r="C48">
        <f t="shared" si="0"/>
        <v>0.12192</v>
      </c>
      <c r="D48">
        <v>0.91439999999999999</v>
      </c>
      <c r="E48" s="2">
        <f t="shared" si="1"/>
        <v>89699.253472581011</v>
      </c>
      <c r="F48">
        <v>96.5</v>
      </c>
      <c r="G48" s="1">
        <f t="shared" si="2"/>
        <v>4.8250000000000001E-2</v>
      </c>
      <c r="H48" s="2">
        <f>E48*G48</f>
        <v>4327.9889800520341</v>
      </c>
      <c r="I48" s="8">
        <v>3.19</v>
      </c>
      <c r="J48" s="2">
        <f t="shared" si="3"/>
        <v>31.9</v>
      </c>
      <c r="K48" s="10">
        <f t="shared" si="4"/>
        <v>138.06284846365986</v>
      </c>
      <c r="L48">
        <v>157.845</v>
      </c>
      <c r="M48">
        <f t="shared" si="5"/>
        <v>7.8922499999999993E-2</v>
      </c>
      <c r="N48" s="2">
        <f>M48*E48</f>
        <v>7079.2893321897745</v>
      </c>
      <c r="O48" s="8">
        <v>2.82</v>
      </c>
      <c r="P48" s="2">
        <f t="shared" si="6"/>
        <v>28.2</v>
      </c>
      <c r="Q48" s="10">
        <f t="shared" si="7"/>
        <v>199.63595916775162</v>
      </c>
      <c r="R48">
        <v>126.78</v>
      </c>
      <c r="S48">
        <f t="shared" si="8"/>
        <v>6.3390000000000002E-2</v>
      </c>
      <c r="T48" s="2">
        <f>S48*E48</f>
        <v>5686.0356776269109</v>
      </c>
      <c r="U48" s="8">
        <v>1.51</v>
      </c>
      <c r="V48" s="2">
        <f t="shared" si="9"/>
        <v>15.1</v>
      </c>
      <c r="W48" s="10">
        <f t="shared" si="10"/>
        <v>85.859138732166343</v>
      </c>
      <c r="X48">
        <v>137.77500000000001</v>
      </c>
      <c r="Y48">
        <f t="shared" si="11"/>
        <v>6.8887500000000004E-2</v>
      </c>
      <c r="Z48" s="2">
        <f>Y48*E48</f>
        <v>6179.1573235924252</v>
      </c>
      <c r="AA48">
        <v>1.17</v>
      </c>
      <c r="AB48" s="2">
        <f t="shared" si="12"/>
        <v>11.7</v>
      </c>
      <c r="AC48" s="10">
        <f t="shared" si="13"/>
        <v>72.296140686031379</v>
      </c>
      <c r="AD48" s="3">
        <f t="shared" si="14"/>
        <v>11865.193001219337</v>
      </c>
      <c r="AE48">
        <f t="shared" si="15"/>
        <v>158.15527941819772</v>
      </c>
    </row>
    <row r="49" spans="1:31" x14ac:dyDescent="0.35">
      <c r="A49">
        <v>248</v>
      </c>
      <c r="B49">
        <v>15</v>
      </c>
      <c r="C49">
        <f t="shared" si="0"/>
        <v>0.12192</v>
      </c>
      <c r="D49">
        <v>0.91439999999999999</v>
      </c>
      <c r="E49" s="2">
        <f t="shared" si="1"/>
        <v>89699.253472581011</v>
      </c>
      <c r="F49">
        <v>95.2</v>
      </c>
      <c r="G49" s="1">
        <f t="shared" si="2"/>
        <v>4.7600000000000003E-2</v>
      </c>
      <c r="H49" s="2">
        <f>E49*G49</f>
        <v>4269.6844652948566</v>
      </c>
      <c r="I49" s="8">
        <v>2.3199999999999998</v>
      </c>
      <c r="J49" s="2">
        <f t="shared" si="3"/>
        <v>23.2</v>
      </c>
      <c r="K49" s="10">
        <f t="shared" si="4"/>
        <v>99.056679594840659</v>
      </c>
      <c r="L49">
        <v>123.5</v>
      </c>
      <c r="M49">
        <f t="shared" si="5"/>
        <v>6.1749999999999999E-2</v>
      </c>
      <c r="N49" s="2">
        <f>M49*E49</f>
        <v>5538.9289019318776</v>
      </c>
      <c r="O49" s="8">
        <v>2.23</v>
      </c>
      <c r="P49" s="2">
        <f t="shared" si="6"/>
        <v>22.3</v>
      </c>
      <c r="Q49" s="10">
        <f t="shared" si="7"/>
        <v>123.51811451308087</v>
      </c>
      <c r="R49">
        <v>128.33000000000001</v>
      </c>
      <c r="S49">
        <f t="shared" si="8"/>
        <v>6.4165E-2</v>
      </c>
      <c r="T49" s="2">
        <f>S49*E49</f>
        <v>5755.5525990681608</v>
      </c>
      <c r="U49" s="8">
        <v>1.1499999999999999</v>
      </c>
      <c r="V49" s="2">
        <f t="shared" si="9"/>
        <v>11.5</v>
      </c>
      <c r="W49" s="10">
        <f t="shared" si="10"/>
        <v>66.188854889283846</v>
      </c>
      <c r="X49">
        <v>202.125</v>
      </c>
      <c r="Y49">
        <f t="shared" si="11"/>
        <v>0.1010625</v>
      </c>
      <c r="Z49" s="2">
        <f>Y49*E49</f>
        <v>9065.2308040727185</v>
      </c>
      <c r="AA49">
        <v>1.19</v>
      </c>
      <c r="AB49" s="2">
        <f t="shared" si="12"/>
        <v>11.899999999999999</v>
      </c>
      <c r="AC49" s="10">
        <f t="shared" si="13"/>
        <v>107.87624656846535</v>
      </c>
      <c r="AD49" s="3">
        <f t="shared" si="14"/>
        <v>14820.783403140878</v>
      </c>
      <c r="AE49">
        <f t="shared" si="15"/>
        <v>174.06510145774919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2A9C-0734-4300-A8D3-3017540D1065}">
  <dimension ref="A1:D49"/>
  <sheetViews>
    <sheetView tabSelected="1" workbookViewId="0">
      <selection activeCell="H6" sqref="H6"/>
    </sheetView>
  </sheetViews>
  <sheetFormatPr defaultRowHeight="14.5" x14ac:dyDescent="0.35"/>
  <cols>
    <col min="2" max="2" width="36.90625" customWidth="1"/>
    <col min="3" max="3" width="41.453125" customWidth="1"/>
    <col min="4" max="4" width="30.453125" customWidth="1"/>
  </cols>
  <sheetData>
    <row r="1" spans="1:4" x14ac:dyDescent="0.35">
      <c r="A1" t="s">
        <v>0</v>
      </c>
      <c r="B1" t="s">
        <v>30</v>
      </c>
      <c r="C1" t="s">
        <v>27</v>
      </c>
      <c r="D1" t="s">
        <v>18</v>
      </c>
    </row>
    <row r="2" spans="1:4" x14ac:dyDescent="0.35">
      <c r="A2">
        <v>201</v>
      </c>
      <c r="B2">
        <v>20.352162617905488</v>
      </c>
      <c r="C2">
        <v>44.486972654500867</v>
      </c>
      <c r="D2">
        <v>48.323116707961816</v>
      </c>
    </row>
    <row r="3" spans="1:4" x14ac:dyDescent="0.35">
      <c r="A3">
        <v>202</v>
      </c>
      <c r="B3">
        <v>76.360525984940864</v>
      </c>
      <c r="C3">
        <v>48.378574766408796</v>
      </c>
      <c r="D3">
        <v>78.556004912935762</v>
      </c>
    </row>
    <row r="4" spans="1:4" x14ac:dyDescent="0.35">
      <c r="A4">
        <v>203</v>
      </c>
      <c r="B4">
        <v>82.33045979980848</v>
      </c>
      <c r="C4">
        <v>90.707248833479142</v>
      </c>
      <c r="D4">
        <v>138.07477846437172</v>
      </c>
    </row>
    <row r="5" spans="1:4" x14ac:dyDescent="0.35">
      <c r="A5">
        <v>204</v>
      </c>
      <c r="B5">
        <v>58.555672666900882</v>
      </c>
      <c r="C5">
        <v>84.42942233106686</v>
      </c>
      <c r="D5">
        <v>173.01196494754095</v>
      </c>
    </row>
    <row r="6" spans="1:4" x14ac:dyDescent="0.35">
      <c r="A6">
        <v>205</v>
      </c>
      <c r="B6">
        <v>69.528522544699399</v>
      </c>
      <c r="C6">
        <v>121.06815880298429</v>
      </c>
      <c r="D6">
        <v>144.61220208127145</v>
      </c>
    </row>
    <row r="7" spans="1:4" x14ac:dyDescent="0.35">
      <c r="A7">
        <v>206</v>
      </c>
      <c r="B7">
        <v>31.92217032582214</v>
      </c>
      <c r="C7">
        <v>24.069299681809248</v>
      </c>
      <c r="D7">
        <v>76.211649143977297</v>
      </c>
    </row>
    <row r="8" spans="1:4" x14ac:dyDescent="0.35">
      <c r="A8">
        <v>207</v>
      </c>
      <c r="B8">
        <v>92.67852447741933</v>
      </c>
      <c r="C8">
        <v>70.530164208476563</v>
      </c>
      <c r="D8">
        <v>134.2392144660833</v>
      </c>
    </row>
    <row r="9" spans="1:4" x14ac:dyDescent="0.35">
      <c r="A9">
        <v>208</v>
      </c>
      <c r="B9">
        <v>126.4580075456447</v>
      </c>
      <c r="C9">
        <v>98.557951745533117</v>
      </c>
      <c r="D9">
        <v>123.13339441493696</v>
      </c>
    </row>
    <row r="10" spans="1:4" x14ac:dyDescent="0.35">
      <c r="A10">
        <v>209</v>
      </c>
      <c r="B10">
        <v>112.20730774794883</v>
      </c>
      <c r="C10">
        <v>161.81225070783475</v>
      </c>
      <c r="D10">
        <v>176.4642799154426</v>
      </c>
    </row>
    <row r="11" spans="1:4" x14ac:dyDescent="0.35">
      <c r="A11">
        <v>210</v>
      </c>
      <c r="B11">
        <v>98.459506814846975</v>
      </c>
      <c r="C11">
        <v>110.0260013020026</v>
      </c>
      <c r="D11">
        <v>111.69663420056008</v>
      </c>
    </row>
    <row r="12" spans="1:4" x14ac:dyDescent="0.35">
      <c r="A12">
        <v>211</v>
      </c>
      <c r="B12">
        <v>28.255264843863017</v>
      </c>
      <c r="C12">
        <v>62.823563147126286</v>
      </c>
      <c r="D12">
        <v>51.457770739615555</v>
      </c>
    </row>
    <row r="13" spans="1:4" x14ac:dyDescent="0.35">
      <c r="A13">
        <v>212</v>
      </c>
      <c r="B13">
        <v>121.42498243329818</v>
      </c>
      <c r="C13">
        <v>99.427810256083447</v>
      </c>
      <c r="D13">
        <v>170.32444076462224</v>
      </c>
    </row>
    <row r="14" spans="1:4" x14ac:dyDescent="0.35">
      <c r="A14">
        <v>213</v>
      </c>
      <c r="B14">
        <v>50.885340003704705</v>
      </c>
      <c r="C14">
        <v>78.662874098510542</v>
      </c>
      <c r="D14">
        <v>90.03013533129689</v>
      </c>
    </row>
    <row r="15" spans="1:4" x14ac:dyDescent="0.35">
      <c r="A15">
        <v>214</v>
      </c>
      <c r="B15">
        <v>26.015384785399196</v>
      </c>
      <c r="C15">
        <v>32.156352651825671</v>
      </c>
      <c r="D15">
        <v>56.241198709249261</v>
      </c>
    </row>
    <row r="16" spans="1:4" x14ac:dyDescent="0.35">
      <c r="A16">
        <v>215</v>
      </c>
      <c r="B16">
        <v>66.693727137454275</v>
      </c>
      <c r="C16">
        <v>70.272458253249837</v>
      </c>
      <c r="D16">
        <v>130.90785296153928</v>
      </c>
    </row>
    <row r="17" spans="1:4" x14ac:dyDescent="0.35">
      <c r="A17">
        <v>216</v>
      </c>
      <c r="B17">
        <v>52.175813263663557</v>
      </c>
      <c r="C17">
        <v>59.406694334221996</v>
      </c>
      <c r="D17">
        <v>104.18855328451396</v>
      </c>
    </row>
    <row r="18" spans="1:4" x14ac:dyDescent="0.35">
      <c r="A18">
        <v>217</v>
      </c>
      <c r="B18">
        <v>116.04840918015168</v>
      </c>
      <c r="C18">
        <v>102.71506364771987</v>
      </c>
      <c r="D18">
        <v>138.90624569443582</v>
      </c>
    </row>
    <row r="19" spans="1:4" x14ac:dyDescent="0.35">
      <c r="A19">
        <v>218</v>
      </c>
      <c r="B19">
        <v>87.607825678614333</v>
      </c>
      <c r="C19">
        <v>115.64476253952506</v>
      </c>
      <c r="D19">
        <v>215.50111097907376</v>
      </c>
    </row>
    <row r="20" spans="1:4" x14ac:dyDescent="0.35">
      <c r="A20">
        <v>219</v>
      </c>
      <c r="B20">
        <v>42.418896566188202</v>
      </c>
      <c r="C20">
        <v>61.650894906728098</v>
      </c>
      <c r="D20">
        <v>62.03771994735348</v>
      </c>
    </row>
    <row r="21" spans="1:4" x14ac:dyDescent="0.35">
      <c r="A21">
        <v>220</v>
      </c>
      <c r="B21">
        <v>105.69861031697371</v>
      </c>
      <c r="C21">
        <v>112.9227938432729</v>
      </c>
      <c r="D21">
        <v>187.79352436212588</v>
      </c>
    </row>
    <row r="22" spans="1:4" x14ac:dyDescent="0.35">
      <c r="A22">
        <v>221</v>
      </c>
      <c r="B22">
        <v>59.76870557136175</v>
      </c>
      <c r="C22">
        <v>89.90668299623637</v>
      </c>
      <c r="D22">
        <v>61.251781068376957</v>
      </c>
    </row>
    <row r="23" spans="1:4" x14ac:dyDescent="0.35">
      <c r="A23">
        <v>222</v>
      </c>
      <c r="B23">
        <v>103.36906090478848</v>
      </c>
      <c r="C23">
        <v>98.496440482464308</v>
      </c>
      <c r="D23">
        <v>99.22007799744766</v>
      </c>
    </row>
    <row r="24" spans="1:4" x14ac:dyDescent="0.35">
      <c r="A24">
        <v>223</v>
      </c>
      <c r="B24">
        <v>118.08607722153717</v>
      </c>
      <c r="C24">
        <v>138.78068542691867</v>
      </c>
      <c r="D24">
        <v>156.47765446283208</v>
      </c>
    </row>
    <row r="25" spans="1:4" x14ac:dyDescent="0.35">
      <c r="A25">
        <v>224</v>
      </c>
      <c r="B25">
        <v>92.151033067498219</v>
      </c>
      <c r="C25">
        <v>118.28304183228735</v>
      </c>
      <c r="D25">
        <v>126.824578494836</v>
      </c>
    </row>
    <row r="26" spans="1:4" x14ac:dyDescent="0.35">
      <c r="A26">
        <v>225</v>
      </c>
      <c r="B26">
        <v>48.632199405602513</v>
      </c>
      <c r="C26">
        <v>58.372686189816818</v>
      </c>
      <c r="D26">
        <v>114.18792556913817</v>
      </c>
    </row>
    <row r="27" spans="1:4" x14ac:dyDescent="0.35">
      <c r="A27">
        <v>226</v>
      </c>
      <c r="B27">
        <v>20.91037602214093</v>
      </c>
      <c r="C27">
        <v>53.44759917914898</v>
      </c>
      <c r="D27">
        <v>60.249400133252415</v>
      </c>
    </row>
    <row r="28" spans="1:4" x14ac:dyDescent="0.35">
      <c r="A28">
        <v>227</v>
      </c>
      <c r="B28">
        <v>47.314801419726287</v>
      </c>
      <c r="C28">
        <v>55.261646981627301</v>
      </c>
      <c r="D28">
        <v>56.94988859113522</v>
      </c>
    </row>
    <row r="29" spans="1:4" x14ac:dyDescent="0.35">
      <c r="A29">
        <v>228</v>
      </c>
      <c r="B29">
        <v>74.254836009672019</v>
      </c>
      <c r="C29">
        <v>72.534404328067922</v>
      </c>
      <c r="D29">
        <v>117.96075241456035</v>
      </c>
    </row>
    <row r="30" spans="1:4" x14ac:dyDescent="0.35">
      <c r="A30">
        <v>229</v>
      </c>
      <c r="B30">
        <v>67.670552007770681</v>
      </c>
      <c r="C30">
        <v>77.43355330460659</v>
      </c>
      <c r="D30">
        <v>160.30894952414906</v>
      </c>
    </row>
    <row r="31" spans="1:4" x14ac:dyDescent="0.35">
      <c r="A31">
        <v>230</v>
      </c>
      <c r="B31">
        <v>69.863579156170644</v>
      </c>
      <c r="C31">
        <v>96.082925094090925</v>
      </c>
      <c r="D31">
        <v>161.62915210668382</v>
      </c>
    </row>
    <row r="32" spans="1:4" x14ac:dyDescent="0.35">
      <c r="A32">
        <v>231</v>
      </c>
      <c r="B32">
        <v>83.036572323144668</v>
      </c>
      <c r="C32">
        <v>85.707636693051171</v>
      </c>
      <c r="D32">
        <v>89.202917603366089</v>
      </c>
    </row>
    <row r="33" spans="1:4" x14ac:dyDescent="0.35">
      <c r="A33">
        <v>232</v>
      </c>
      <c r="B33">
        <v>20.529647540776562</v>
      </c>
      <c r="C33">
        <v>28.403238712341619</v>
      </c>
      <c r="D33">
        <v>60.021298669140549</v>
      </c>
    </row>
    <row r="34" spans="1:4" x14ac:dyDescent="0.35">
      <c r="A34">
        <v>233</v>
      </c>
      <c r="B34">
        <v>112.74779059974787</v>
      </c>
      <c r="C34">
        <v>76.173166669250008</v>
      </c>
      <c r="D34">
        <v>110.54519179350861</v>
      </c>
    </row>
    <row r="35" spans="1:4" x14ac:dyDescent="0.35">
      <c r="A35">
        <v>234</v>
      </c>
      <c r="B35">
        <v>101.17419193171719</v>
      </c>
      <c r="C35">
        <v>64.686915639263376</v>
      </c>
      <c r="D35">
        <v>142.9030829705178</v>
      </c>
    </row>
    <row r="36" spans="1:4" x14ac:dyDescent="0.35">
      <c r="A36">
        <v>235</v>
      </c>
      <c r="B36">
        <v>145.45152547095219</v>
      </c>
      <c r="C36">
        <v>95.609118687373169</v>
      </c>
      <c r="D36">
        <v>106.28596102871219</v>
      </c>
    </row>
    <row r="37" spans="1:4" x14ac:dyDescent="0.35">
      <c r="A37">
        <v>236</v>
      </c>
      <c r="B37">
        <v>58.628867257734512</v>
      </c>
      <c r="C37">
        <v>64.803449919399839</v>
      </c>
      <c r="D37">
        <v>113.15712865800732</v>
      </c>
    </row>
    <row r="38" spans="1:4" x14ac:dyDescent="0.35">
      <c r="A38">
        <v>237</v>
      </c>
      <c r="B38">
        <v>62.65791852571359</v>
      </c>
      <c r="C38">
        <v>78.270312790625567</v>
      </c>
      <c r="D38">
        <v>79.845700779364535</v>
      </c>
    </row>
    <row r="39" spans="1:4" x14ac:dyDescent="0.35">
      <c r="A39">
        <v>238</v>
      </c>
      <c r="B39">
        <v>66.837604740024275</v>
      </c>
      <c r="C39">
        <v>60.898617167604712</v>
      </c>
      <c r="D39">
        <v>89.309712039562953</v>
      </c>
    </row>
    <row r="40" spans="1:4" x14ac:dyDescent="0.35">
      <c r="A40">
        <v>239</v>
      </c>
      <c r="B40">
        <v>72.344241910706046</v>
      </c>
      <c r="C40">
        <v>69.81709102307093</v>
      </c>
      <c r="D40">
        <v>132.83105578556837</v>
      </c>
    </row>
    <row r="41" spans="1:4" x14ac:dyDescent="0.35">
      <c r="A41">
        <v>240</v>
      </c>
      <c r="B41">
        <v>24.100933618533901</v>
      </c>
      <c r="C41">
        <v>32.60597015985698</v>
      </c>
      <c r="D41">
        <v>40.907972440944881</v>
      </c>
    </row>
    <row r="42" spans="1:4" x14ac:dyDescent="0.35">
      <c r="A42">
        <v>241</v>
      </c>
      <c r="B42">
        <v>97.469361605389906</v>
      </c>
      <c r="C42">
        <v>103.11811229332335</v>
      </c>
      <c r="D42">
        <v>171.84898123654276</v>
      </c>
    </row>
    <row r="43" spans="1:4" x14ac:dyDescent="0.35">
      <c r="A43">
        <v>242</v>
      </c>
      <c r="B43">
        <v>79.026836294413329</v>
      </c>
      <c r="C43">
        <v>140.49369823276683</v>
      </c>
      <c r="D43">
        <v>206.7995403834172</v>
      </c>
    </row>
    <row r="44" spans="1:4" x14ac:dyDescent="0.35">
      <c r="A44">
        <v>243</v>
      </c>
      <c r="B44">
        <v>76.378914331902735</v>
      </c>
      <c r="C44">
        <v>134.27529748578016</v>
      </c>
      <c r="D44">
        <v>126.08156967857146</v>
      </c>
    </row>
    <row r="45" spans="1:4" x14ac:dyDescent="0.35">
      <c r="A45">
        <v>244</v>
      </c>
      <c r="B45">
        <v>39.07033373480327</v>
      </c>
      <c r="C45">
        <v>46.842519900317583</v>
      </c>
      <c r="D45">
        <v>132.00637878899215</v>
      </c>
    </row>
    <row r="46" spans="1:4" x14ac:dyDescent="0.35">
      <c r="A46">
        <v>245</v>
      </c>
      <c r="B46">
        <v>80.454848409696808</v>
      </c>
      <c r="C46">
        <v>117.98591305515944</v>
      </c>
      <c r="D46">
        <v>67.331488829644314</v>
      </c>
    </row>
    <row r="47" spans="1:4" x14ac:dyDescent="0.35">
      <c r="A47">
        <v>246</v>
      </c>
      <c r="B47">
        <v>129.38489418645506</v>
      </c>
      <c r="C47">
        <v>164.47255116732453</v>
      </c>
      <c r="D47">
        <v>199.36450680193025</v>
      </c>
    </row>
    <row r="48" spans="1:4" x14ac:dyDescent="0.35">
      <c r="A48">
        <v>247</v>
      </c>
      <c r="B48">
        <v>138.06284846365986</v>
      </c>
      <c r="C48">
        <v>199.63595916775162</v>
      </c>
      <c r="D48">
        <v>158.15527941819772</v>
      </c>
    </row>
    <row r="49" spans="1:4" x14ac:dyDescent="0.35">
      <c r="A49">
        <v>248</v>
      </c>
      <c r="B49">
        <v>99.056679594840659</v>
      </c>
      <c r="C49">
        <v>123.51811451308087</v>
      </c>
      <c r="D49">
        <v>174.06510145774919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Binita Ghimire</dc:creator>
  <cp:lastModifiedBy>Binita Ghimire</cp:lastModifiedBy>
  <dcterms:created xsi:type="dcterms:W3CDTF">2015-06-05T18:17:20Z</dcterms:created>
  <dcterms:modified xsi:type="dcterms:W3CDTF">2026-04-21T20:47:09Z</dcterms:modified>
</cp:coreProperties>
</file>