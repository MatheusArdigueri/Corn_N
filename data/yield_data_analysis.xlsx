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AGO COSTA\OneDrive\Área de Trabalho\Iron_horse_analyses_2024\yield_analysis\"/>
    </mc:Choice>
  </mc:AlternateContent>
  <bookViews>
    <workbookView xWindow="0" yWindow="0" windowWidth="19368" windowHeight="926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" i="1"/>
  <c r="V8" i="1" l="1"/>
  <c r="V10" i="1"/>
  <c r="V16" i="1"/>
  <c r="V18" i="1"/>
  <c r="V24" i="1"/>
  <c r="V26" i="1"/>
  <c r="V32" i="1"/>
  <c r="V34" i="1"/>
  <c r="V40" i="1"/>
  <c r="V42" i="1"/>
  <c r="V48" i="1"/>
  <c r="V50" i="1"/>
  <c r="V56" i="1"/>
  <c r="V58" i="1"/>
  <c r="V64" i="1"/>
  <c r="V66" i="1"/>
  <c r="V72" i="1"/>
  <c r="V74" i="1"/>
  <c r="V80" i="1"/>
  <c r="V82" i="1"/>
  <c r="V88" i="1"/>
  <c r="V90" i="1"/>
  <c r="V96" i="1"/>
  <c r="V98" i="1"/>
  <c r="V104" i="1"/>
  <c r="V106" i="1"/>
  <c r="V112" i="1"/>
  <c r="V114" i="1"/>
  <c r="V120" i="1"/>
  <c r="V122" i="1"/>
  <c r="V128" i="1"/>
  <c r="V130" i="1"/>
  <c r="V136" i="1"/>
  <c r="V138" i="1"/>
  <c r="V144" i="1"/>
  <c r="V146" i="1"/>
  <c r="V152" i="1"/>
  <c r="V154" i="1"/>
  <c r="V160" i="1"/>
  <c r="V162" i="1"/>
  <c r="V168" i="1"/>
  <c r="V170" i="1"/>
  <c r="V176" i="1"/>
  <c r="V178" i="1"/>
  <c r="V184" i="1"/>
  <c r="V186" i="1"/>
  <c r="V192" i="1"/>
  <c r="V194" i="1"/>
  <c r="V200" i="1"/>
  <c r="V202" i="1"/>
  <c r="V210" i="1"/>
  <c r="V218" i="1"/>
  <c r="V226" i="1"/>
  <c r="V234" i="1"/>
  <c r="V242" i="1"/>
  <c r="V250" i="1"/>
  <c r="V258" i="1"/>
  <c r="V266" i="1"/>
  <c r="V274" i="1"/>
  <c r="V282" i="1"/>
  <c r="V3" i="1"/>
  <c r="V4" i="1"/>
  <c r="V5" i="1"/>
  <c r="V6" i="1"/>
  <c r="V7" i="1"/>
  <c r="V9" i="1"/>
  <c r="V11" i="1"/>
  <c r="V12" i="1"/>
  <c r="V13" i="1"/>
  <c r="V14" i="1"/>
  <c r="V15" i="1"/>
  <c r="V17" i="1"/>
  <c r="V19" i="1"/>
  <c r="V20" i="1"/>
  <c r="V21" i="1"/>
  <c r="V22" i="1"/>
  <c r="V23" i="1"/>
  <c r="V25" i="1"/>
  <c r="V27" i="1"/>
  <c r="V28" i="1"/>
  <c r="V29" i="1"/>
  <c r="V30" i="1"/>
  <c r="V31" i="1"/>
  <c r="V33" i="1"/>
  <c r="V35" i="1"/>
  <c r="V36" i="1"/>
  <c r="V37" i="1"/>
  <c r="V38" i="1"/>
  <c r="V39" i="1"/>
  <c r="V41" i="1"/>
  <c r="V43" i="1"/>
  <c r="V44" i="1"/>
  <c r="V45" i="1"/>
  <c r="V46" i="1"/>
  <c r="V47" i="1"/>
  <c r="V49" i="1"/>
  <c r="V51" i="1"/>
  <c r="V52" i="1"/>
  <c r="V53" i="1"/>
  <c r="V54" i="1"/>
  <c r="V55" i="1"/>
  <c r="V57" i="1"/>
  <c r="V59" i="1"/>
  <c r="V60" i="1"/>
  <c r="V61" i="1"/>
  <c r="V62" i="1"/>
  <c r="V63" i="1"/>
  <c r="V65" i="1"/>
  <c r="V67" i="1"/>
  <c r="V68" i="1"/>
  <c r="V69" i="1"/>
  <c r="V70" i="1"/>
  <c r="V71" i="1"/>
  <c r="V73" i="1"/>
  <c r="V75" i="1"/>
  <c r="V76" i="1"/>
  <c r="V77" i="1"/>
  <c r="V78" i="1"/>
  <c r="V79" i="1"/>
  <c r="V81" i="1"/>
  <c r="V83" i="1"/>
  <c r="V84" i="1"/>
  <c r="V85" i="1"/>
  <c r="V86" i="1"/>
  <c r="V87" i="1"/>
  <c r="V89" i="1"/>
  <c r="V91" i="1"/>
  <c r="V92" i="1"/>
  <c r="V93" i="1"/>
  <c r="V94" i="1"/>
  <c r="V95" i="1"/>
  <c r="V97" i="1"/>
  <c r="V99" i="1"/>
  <c r="V100" i="1"/>
  <c r="V101" i="1"/>
  <c r="V102" i="1"/>
  <c r="V103" i="1"/>
  <c r="V105" i="1"/>
  <c r="V107" i="1"/>
  <c r="V108" i="1"/>
  <c r="V109" i="1"/>
  <c r="V110" i="1"/>
  <c r="V111" i="1"/>
  <c r="V113" i="1"/>
  <c r="V115" i="1"/>
  <c r="V116" i="1"/>
  <c r="V117" i="1"/>
  <c r="V118" i="1"/>
  <c r="V119" i="1"/>
  <c r="V121" i="1"/>
  <c r="V123" i="1"/>
  <c r="V124" i="1"/>
  <c r="V125" i="1"/>
  <c r="V126" i="1"/>
  <c r="V127" i="1"/>
  <c r="V129" i="1"/>
  <c r="V131" i="1"/>
  <c r="V132" i="1"/>
  <c r="V133" i="1"/>
  <c r="V134" i="1"/>
  <c r="V135" i="1"/>
  <c r="V137" i="1"/>
  <c r="V139" i="1"/>
  <c r="V140" i="1"/>
  <c r="V141" i="1"/>
  <c r="V142" i="1"/>
  <c r="V143" i="1"/>
  <c r="V145" i="1"/>
  <c r="V147" i="1"/>
  <c r="V148" i="1"/>
  <c r="V149" i="1"/>
  <c r="V150" i="1"/>
  <c r="V151" i="1"/>
  <c r="V153" i="1"/>
  <c r="V155" i="1"/>
  <c r="V156" i="1"/>
  <c r="V157" i="1"/>
  <c r="V158" i="1"/>
  <c r="V159" i="1"/>
  <c r="V161" i="1"/>
  <c r="V163" i="1"/>
  <c r="V164" i="1"/>
  <c r="V165" i="1"/>
  <c r="V166" i="1"/>
  <c r="V167" i="1"/>
  <c r="V169" i="1"/>
  <c r="V171" i="1"/>
  <c r="V172" i="1"/>
  <c r="V173" i="1"/>
  <c r="V174" i="1"/>
  <c r="V175" i="1"/>
  <c r="V177" i="1"/>
  <c r="V179" i="1"/>
  <c r="V180" i="1"/>
  <c r="V181" i="1"/>
  <c r="V182" i="1"/>
  <c r="V183" i="1"/>
  <c r="V185" i="1"/>
  <c r="V187" i="1"/>
  <c r="V188" i="1"/>
  <c r="V189" i="1"/>
  <c r="V190" i="1"/>
  <c r="V191" i="1"/>
  <c r="V193" i="1"/>
  <c r="V195" i="1"/>
  <c r="V196" i="1"/>
  <c r="V197" i="1"/>
  <c r="V198" i="1"/>
  <c r="V199" i="1"/>
  <c r="V201" i="1"/>
  <c r="V203" i="1"/>
  <c r="V204" i="1"/>
  <c r="V205" i="1"/>
  <c r="V206" i="1"/>
  <c r="V207" i="1"/>
  <c r="V208" i="1"/>
  <c r="V209" i="1"/>
  <c r="V211" i="1"/>
  <c r="V212" i="1"/>
  <c r="V213" i="1"/>
  <c r="V214" i="1"/>
  <c r="V215" i="1"/>
  <c r="V216" i="1"/>
  <c r="V217" i="1"/>
  <c r="V219" i="1"/>
  <c r="V220" i="1"/>
  <c r="V221" i="1"/>
  <c r="V222" i="1"/>
  <c r="V223" i="1"/>
  <c r="V224" i="1"/>
  <c r="V225" i="1"/>
  <c r="V227" i="1"/>
  <c r="V228" i="1"/>
  <c r="V229" i="1"/>
  <c r="V230" i="1"/>
  <c r="V231" i="1"/>
  <c r="V232" i="1"/>
  <c r="V233" i="1"/>
  <c r="V235" i="1"/>
  <c r="V236" i="1"/>
  <c r="V237" i="1"/>
  <c r="V238" i="1"/>
  <c r="V239" i="1"/>
  <c r="V240" i="1"/>
  <c r="V241" i="1"/>
  <c r="V243" i="1"/>
  <c r="V244" i="1"/>
  <c r="V245" i="1"/>
  <c r="V246" i="1"/>
  <c r="V247" i="1"/>
  <c r="V248" i="1"/>
  <c r="V249" i="1"/>
  <c r="V251" i="1"/>
  <c r="V252" i="1"/>
  <c r="V253" i="1"/>
  <c r="V254" i="1"/>
  <c r="V255" i="1"/>
  <c r="V256" i="1"/>
  <c r="V257" i="1"/>
  <c r="V259" i="1"/>
  <c r="V260" i="1"/>
  <c r="V261" i="1"/>
  <c r="V262" i="1"/>
  <c r="V263" i="1"/>
  <c r="V264" i="1"/>
  <c r="V265" i="1"/>
  <c r="V267" i="1"/>
  <c r="V268" i="1"/>
  <c r="V269" i="1"/>
  <c r="V270" i="1"/>
  <c r="V271" i="1"/>
  <c r="V272" i="1"/>
  <c r="V273" i="1"/>
  <c r="V275" i="1"/>
  <c r="V276" i="1"/>
  <c r="V277" i="1"/>
  <c r="V278" i="1"/>
  <c r="V279" i="1"/>
  <c r="V280" i="1"/>
  <c r="V281" i="1"/>
  <c r="V283" i="1"/>
  <c r="V284" i="1"/>
  <c r="V285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" i="1"/>
</calcChain>
</file>

<file path=xl/sharedStrings.xml><?xml version="1.0" encoding="utf-8"?>
<sst xmlns="http://schemas.openxmlformats.org/spreadsheetml/2006/main" count="1349" uniqueCount="38">
  <si>
    <t>ID</t>
  </si>
  <si>
    <t>Block</t>
  </si>
  <si>
    <t>Biological</t>
  </si>
  <si>
    <t>Ntreat</t>
  </si>
  <si>
    <t>Stage</t>
  </si>
  <si>
    <t>NGPR</t>
  </si>
  <si>
    <t>NGPC</t>
  </si>
  <si>
    <t>Mass of 1000 grains (g)</t>
  </si>
  <si>
    <t>Umidity (%)</t>
  </si>
  <si>
    <t>NGPE</t>
  </si>
  <si>
    <t>Iron Horse</t>
  </si>
  <si>
    <t>Yes</t>
  </si>
  <si>
    <t>No</t>
  </si>
  <si>
    <t>VRN</t>
  </si>
  <si>
    <t>CFP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</si>
  <si>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</si>
  <si>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</si>
  <si>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</si>
  <si>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</si>
  <si>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</si>
  <si>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</si>
  <si>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</si>
  <si>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</si>
  <si>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</si>
  <si>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</si>
  <si>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Total Grain Weight (g)</t>
  </si>
  <si>
    <t>Total Ear Weight (g)</t>
  </si>
  <si>
    <t>Plants Collect</t>
  </si>
  <si>
    <r>
      <t>Yield Estimation (Bu.Ac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</si>
  <si>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Pre-plant (kg/ha)</t>
  </si>
  <si>
    <t>Sidedress (kg/ha)</t>
  </si>
  <si>
    <t>Nitrogen Total (kg/ha)</t>
  </si>
  <si>
    <t>location</t>
  </si>
  <si>
    <t>year</t>
  </si>
  <si>
    <t>time_n</t>
  </si>
  <si>
    <t>Total</t>
  </si>
  <si>
    <t>Total Cob Weight (g)</t>
  </si>
  <si>
    <r>
      <t>Yield (kg.ha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</si>
</sst>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5"/>
  <sheetViews>
    <sheetView tabSelected="1" zoomScale="90" zoomScaleNormal="90" workbookViewId="0">
      <selection activeCell="Z16" sqref="Z16"/>
    </sheetView>
  </sheetViews>
  <sheetFormatPr defaultRowHeight="14.4" x14ac:dyDescent="0.3"/>
  <cols>
    <col min="4" max="4" width="10.109375" bestFit="1" customWidth="1"/>
    <col min="8" max="8" width="15.77734375" bestFit="1" customWidth="1"/>
    <col min="9" max="10" width="16" customWidth="1"/>
    <col min="14" max="14" width="21.44140625" bestFit="1" customWidth="1"/>
    <col min="15" max="15" width="11.21875" bestFit="1" customWidth="1"/>
    <col min="17" max="17" width="20.21875" bestFit="1" customWidth="1"/>
    <col min="18" max="18" width="20.109375" bestFit="1" customWidth="1"/>
    <col min="19" max="19" width="18.109375" bestFit="1" customWidth="1"/>
    <col min="20" max="20" width="12.6640625" bestFit="1" customWidth="1"/>
    <col min="21" max="21" width="21.88671875" bestFit="1" customWidth="1"/>
    <col min="22" max="22" width="22.109375" bestFit="1" customWidth="1"/>
  </cols>
  <sheetData>
    <row r="1" spans="1:22" ht="16.2" x14ac:dyDescent="0.3">
      <c r="A1" t="s">
        <v>33</v>
      </c>
      <c r="B1" t="s">
        <v>34</v>
      </c>
      <c r="C1" t="s">
        <v>0</v>
      </c>
      <c r="D1" t="s">
        <v>32</v>
      </c>
      <c r="E1" t="s">
        <v>1</v>
      </c>
      <c r="F1" t="s">
        <v>2</v>
      </c>
      <c r="G1" t="s">
        <v>3</v>
      </c>
      <c r="H1" t="s">
        <v>29</v>
      </c>
      <c r="I1" t="s">
        <v>30</v>
      </c>
      <c r="J1" t="s">
        <v>31</v>
      </c>
      <c r="K1" t="s">
        <v>4</v>
      </c>
      <c r="L1" t="s">
        <v>6</v>
      </c>
      <c r="M1" t="s">
        <v>5</v>
      </c>
      <c r="N1" t="s">
        <v>7</v>
      </c>
      <c r="O1" t="s">
        <v>8</v>
      </c>
      <c r="P1" t="s">
        <v>9</v>
      </c>
      <c r="Q1" t="s">
        <v>25</v>
      </c>
      <c r="R1" t="s">
        <v>36</v>
      </c>
      <c r="S1" t="s">
        <v>26</v>
      </c>
      <c r="T1" t="s">
        <v>27</v>
      </c>
      <c r="U1" t="s">
        <v>37</v>
      </c>
      <c r="V1" t="s">
        <v>28</v>
      </c>
    </row>
    <row r="2" spans="1:22" x14ac:dyDescent="0.3">
      <c r="A2">
        <v>2024</v>
      </c>
      <c r="B2" t="s">
        <v>35</v>
      </c>
      <c r="C2">
        <v>507</v>
      </c>
      <c r="D2" t="s">
        <v>10</v>
      </c>
      <c r="E2" s="1">
        <v>1</v>
      </c>
      <c r="F2" s="2" t="s">
        <v>11</v>
      </c>
      <c r="G2" s="2" t="s">
        <v>13</v>
      </c>
      <c r="H2" s="2">
        <f>IF(OR(G2="VRN", G2="CFP"), 100, 0)</f>
        <v>100</v>
      </c>
      <c r="I2" s="2">
        <v>140</v>
      </c>
      <c r="J2" s="2">
        <f>H2+I2</f>
        <v>240</v>
      </c>
      <c r="K2" s="1" t="s">
        <v>15</v>
      </c>
      <c r="L2">
        <v>26</v>
      </c>
      <c r="M2">
        <v>15</v>
      </c>
      <c r="N2">
        <v>273.89999999999998</v>
      </c>
      <c r="O2">
        <v>14.7</v>
      </c>
      <c r="P2">
        <f>L2*M2</f>
        <v>390</v>
      </c>
      <c r="Q2">
        <v>1261.5</v>
      </c>
      <c r="R2">
        <v>178.9</v>
      </c>
      <c r="S2">
        <f>Q2+R2</f>
        <v>1440.4</v>
      </c>
      <c r="T2">
        <v>12</v>
      </c>
      <c r="U2" s="3">
        <f>((((Q2/1000)*10000)/1.577532)*15.5)/O2</f>
        <v>8431.8610413258812</v>
      </c>
      <c r="V2" s="3">
        <f>U2/35.8669</f>
        <v>235.08753311063629</v>
      </c>
    </row>
    <row r="3" spans="1:22" x14ac:dyDescent="0.3">
      <c r="A3">
        <v>2024</v>
      </c>
      <c r="B3" t="s">
        <v>35</v>
      </c>
      <c r="C3">
        <v>507</v>
      </c>
      <c r="D3" t="s">
        <v>10</v>
      </c>
      <c r="E3" s="1">
        <v>1</v>
      </c>
      <c r="F3" s="2" t="s">
        <v>11</v>
      </c>
      <c r="G3" s="2" t="s">
        <v>13</v>
      </c>
      <c r="H3" s="2">
        <f t="shared" ref="H3:H66" si="0">IF(OR(G3="VRN", G3="CFP"), 100, 0)</f>
        <v>100</v>
      </c>
      <c r="I3" s="2">
        <v>140</v>
      </c>
      <c r="J3" s="2">
        <f t="shared" ref="J3:J66" si="1">H3+I3</f>
        <v>240</v>
      </c>
      <c r="K3" s="1" t="s">
        <v>15</v>
      </c>
      <c r="L3">
        <v>34</v>
      </c>
      <c r="M3">
        <v>16</v>
      </c>
      <c r="N3">
        <v>273.89999999999998</v>
      </c>
      <c r="O3">
        <v>14.7</v>
      </c>
      <c r="P3">
        <f t="shared" ref="P3:P66" si="2">L3*M3</f>
        <v>544</v>
      </c>
      <c r="Q3">
        <v>1261.5</v>
      </c>
      <c r="R3">
        <v>178.9</v>
      </c>
      <c r="S3">
        <f t="shared" ref="S3:S66" si="3">Q3+R3</f>
        <v>1440.4</v>
      </c>
      <c r="T3">
        <v>12</v>
      </c>
      <c r="U3" s="3">
        <f t="shared" ref="U3:U66" si="4">((((Q3/1000)*10000)/1.577532)*15.5)/O3</f>
        <v>8431.8610413258812</v>
      </c>
      <c r="V3" s="3">
        <f t="shared" ref="V3:V66" si="5">U3/35.8669</f>
        <v>235.08753311063629</v>
      </c>
    </row>
    <row r="4" spans="1:22" x14ac:dyDescent="0.3">
      <c r="A4">
        <v>2024</v>
      </c>
      <c r="B4" t="s">
        <v>35</v>
      </c>
      <c r="C4">
        <v>507</v>
      </c>
      <c r="D4" t="s">
        <v>10</v>
      </c>
      <c r="E4" s="1">
        <v>1</v>
      </c>
      <c r="F4" s="2" t="s">
        <v>11</v>
      </c>
      <c r="G4" s="2" t="s">
        <v>13</v>
      </c>
      <c r="H4" s="2">
        <f t="shared" si="0"/>
        <v>100</v>
      </c>
      <c r="I4" s="2">
        <v>140</v>
      </c>
      <c r="J4" s="2">
        <f t="shared" si="1"/>
        <v>240</v>
      </c>
      <c r="K4" s="1" t="s">
        <v>15</v>
      </c>
      <c r="L4">
        <v>30</v>
      </c>
      <c r="M4">
        <v>20</v>
      </c>
      <c r="N4">
        <v>273.89999999999998</v>
      </c>
      <c r="O4">
        <v>14.7</v>
      </c>
      <c r="P4">
        <f t="shared" si="2"/>
        <v>600</v>
      </c>
      <c r="Q4">
        <v>1261.5</v>
      </c>
      <c r="R4">
        <v>178.9</v>
      </c>
      <c r="S4">
        <f t="shared" si="3"/>
        <v>1440.4</v>
      </c>
      <c r="T4">
        <v>12</v>
      </c>
      <c r="U4" s="3">
        <f t="shared" si="4"/>
        <v>8431.8610413258812</v>
      </c>
      <c r="V4" s="3">
        <f t="shared" si="5"/>
        <v>235.08753311063629</v>
      </c>
    </row>
    <row r="5" spans="1:22" x14ac:dyDescent="0.3">
      <c r="A5">
        <v>2024</v>
      </c>
      <c r="B5" t="s">
        <v>35</v>
      </c>
      <c r="C5">
        <v>507</v>
      </c>
      <c r="D5" t="s">
        <v>10</v>
      </c>
      <c r="E5" s="1">
        <v>1</v>
      </c>
      <c r="F5" s="2" t="s">
        <v>11</v>
      </c>
      <c r="G5" s="2" t="s">
        <v>13</v>
      </c>
      <c r="H5" s="2">
        <f t="shared" si="0"/>
        <v>100</v>
      </c>
      <c r="I5" s="2">
        <v>140</v>
      </c>
      <c r="J5" s="2">
        <f t="shared" si="1"/>
        <v>240</v>
      </c>
      <c r="K5" s="1" t="s">
        <v>15</v>
      </c>
      <c r="L5">
        <v>35</v>
      </c>
      <c r="M5">
        <v>20</v>
      </c>
      <c r="N5">
        <v>273.89999999999998</v>
      </c>
      <c r="O5">
        <v>14.7</v>
      </c>
      <c r="P5">
        <f t="shared" si="2"/>
        <v>700</v>
      </c>
      <c r="Q5">
        <v>1261.5</v>
      </c>
      <c r="R5">
        <v>178.9</v>
      </c>
      <c r="S5">
        <f t="shared" si="3"/>
        <v>1440.4</v>
      </c>
      <c r="T5">
        <v>12</v>
      </c>
      <c r="U5" s="3">
        <f t="shared" si="4"/>
        <v>8431.8610413258812</v>
      </c>
      <c r="V5" s="3">
        <f t="shared" si="5"/>
        <v>235.08753311063629</v>
      </c>
    </row>
    <row r="6" spans="1:22" x14ac:dyDescent="0.3">
      <c r="A6">
        <v>2024</v>
      </c>
      <c r="B6" t="s">
        <v>35</v>
      </c>
      <c r="C6">
        <v>507</v>
      </c>
      <c r="D6" t="s">
        <v>10</v>
      </c>
      <c r="E6" s="1">
        <v>1</v>
      </c>
      <c r="F6" s="2" t="s">
        <v>11</v>
      </c>
      <c r="G6" s="2" t="s">
        <v>13</v>
      </c>
      <c r="H6" s="2">
        <f t="shared" si="0"/>
        <v>100</v>
      </c>
      <c r="I6" s="2">
        <v>140</v>
      </c>
      <c r="J6" s="2">
        <f t="shared" si="1"/>
        <v>240</v>
      </c>
      <c r="K6" s="1" t="s">
        <v>15</v>
      </c>
      <c r="L6">
        <v>25</v>
      </c>
      <c r="M6">
        <v>16</v>
      </c>
      <c r="N6">
        <v>273.89999999999998</v>
      </c>
      <c r="O6">
        <v>14.7</v>
      </c>
      <c r="P6">
        <f t="shared" si="2"/>
        <v>400</v>
      </c>
      <c r="Q6">
        <v>1261.5</v>
      </c>
      <c r="R6">
        <v>178.9</v>
      </c>
      <c r="S6">
        <f t="shared" si="3"/>
        <v>1440.4</v>
      </c>
      <c r="T6">
        <v>12</v>
      </c>
      <c r="U6" s="3">
        <f t="shared" si="4"/>
        <v>8431.8610413258812</v>
      </c>
      <c r="V6" s="3">
        <f t="shared" si="5"/>
        <v>235.08753311063629</v>
      </c>
    </row>
    <row r="7" spans="1:22" x14ac:dyDescent="0.3">
      <c r="A7">
        <v>2024</v>
      </c>
      <c r="B7" t="s">
        <v>35</v>
      </c>
      <c r="C7">
        <v>507</v>
      </c>
      <c r="D7" t="s">
        <v>10</v>
      </c>
      <c r="E7" s="1">
        <v>1</v>
      </c>
      <c r="F7" s="2" t="s">
        <v>11</v>
      </c>
      <c r="G7" s="2" t="s">
        <v>13</v>
      </c>
      <c r="H7" s="2">
        <f t="shared" si="0"/>
        <v>100</v>
      </c>
      <c r="I7" s="2">
        <v>140</v>
      </c>
      <c r="J7" s="2">
        <f t="shared" si="1"/>
        <v>240</v>
      </c>
      <c r="K7" s="1" t="s">
        <v>15</v>
      </c>
      <c r="L7">
        <v>36</v>
      </c>
      <c r="M7">
        <v>16</v>
      </c>
      <c r="N7">
        <v>273.89999999999998</v>
      </c>
      <c r="O7">
        <v>14.7</v>
      </c>
      <c r="P7">
        <f t="shared" si="2"/>
        <v>576</v>
      </c>
      <c r="Q7">
        <v>1261.5</v>
      </c>
      <c r="R7">
        <v>178.9</v>
      </c>
      <c r="S7">
        <f t="shared" si="3"/>
        <v>1440.4</v>
      </c>
      <c r="T7">
        <v>12</v>
      </c>
      <c r="U7" s="3">
        <f t="shared" si="4"/>
        <v>8431.8610413258812</v>
      </c>
      <c r="V7" s="3">
        <f t="shared" si="5"/>
        <v>235.08753311063629</v>
      </c>
    </row>
    <row r="8" spans="1:22" x14ac:dyDescent="0.3">
      <c r="A8">
        <v>2024</v>
      </c>
      <c r="B8" t="s">
        <v>35</v>
      </c>
      <c r="C8">
        <v>507</v>
      </c>
      <c r="D8" t="s">
        <v>10</v>
      </c>
      <c r="E8" s="1">
        <v>1</v>
      </c>
      <c r="F8" s="2" t="s">
        <v>11</v>
      </c>
      <c r="G8" s="2" t="s">
        <v>13</v>
      </c>
      <c r="H8" s="2">
        <f t="shared" si="0"/>
        <v>100</v>
      </c>
      <c r="I8" s="2">
        <v>140</v>
      </c>
      <c r="J8" s="2">
        <f t="shared" si="1"/>
        <v>240</v>
      </c>
      <c r="K8" s="1" t="s">
        <v>15</v>
      </c>
      <c r="L8">
        <v>34</v>
      </c>
      <c r="M8">
        <v>14</v>
      </c>
      <c r="N8">
        <v>273.89999999999998</v>
      </c>
      <c r="O8">
        <v>14.7</v>
      </c>
      <c r="P8">
        <f t="shared" si="2"/>
        <v>476</v>
      </c>
      <c r="Q8">
        <v>1261.5</v>
      </c>
      <c r="R8">
        <v>178.9</v>
      </c>
      <c r="S8">
        <f t="shared" si="3"/>
        <v>1440.4</v>
      </c>
      <c r="T8">
        <v>12</v>
      </c>
      <c r="U8" s="3">
        <f t="shared" si="4"/>
        <v>8431.8610413258812</v>
      </c>
      <c r="V8" s="3">
        <f t="shared" si="5"/>
        <v>235.08753311063629</v>
      </c>
    </row>
    <row r="9" spans="1:22" x14ac:dyDescent="0.3">
      <c r="A9">
        <v>2024</v>
      </c>
      <c r="B9" t="s">
        <v>35</v>
      </c>
      <c r="C9">
        <v>507</v>
      </c>
      <c r="D9" t="s">
        <v>10</v>
      </c>
      <c r="E9" s="1">
        <v>1</v>
      </c>
      <c r="F9" s="2" t="s">
        <v>11</v>
      </c>
      <c r="G9" s="2" t="s">
        <v>13</v>
      </c>
      <c r="H9" s="2">
        <f t="shared" si="0"/>
        <v>100</v>
      </c>
      <c r="I9" s="2">
        <v>140</v>
      </c>
      <c r="J9" s="2">
        <f t="shared" si="1"/>
        <v>240</v>
      </c>
      <c r="K9" s="1" t="s">
        <v>15</v>
      </c>
      <c r="L9">
        <v>35</v>
      </c>
      <c r="M9">
        <v>18</v>
      </c>
      <c r="N9">
        <v>273.89999999999998</v>
      </c>
      <c r="O9">
        <v>14.7</v>
      </c>
      <c r="P9">
        <f t="shared" si="2"/>
        <v>630</v>
      </c>
      <c r="Q9">
        <v>1261.5</v>
      </c>
      <c r="R9">
        <v>178.9</v>
      </c>
      <c r="S9">
        <f t="shared" si="3"/>
        <v>1440.4</v>
      </c>
      <c r="T9">
        <v>12</v>
      </c>
      <c r="U9" s="3">
        <f t="shared" si="4"/>
        <v>8431.8610413258812</v>
      </c>
      <c r="V9" s="3">
        <f t="shared" si="5"/>
        <v>235.08753311063629</v>
      </c>
    </row>
    <row r="10" spans="1:22" x14ac:dyDescent="0.3">
      <c r="A10">
        <v>2024</v>
      </c>
      <c r="B10" t="s">
        <v>35</v>
      </c>
      <c r="C10">
        <v>507</v>
      </c>
      <c r="D10" t="s">
        <v>10</v>
      </c>
      <c r="E10" s="1">
        <v>1</v>
      </c>
      <c r="F10" s="2" t="s">
        <v>11</v>
      </c>
      <c r="G10" s="2" t="s">
        <v>13</v>
      </c>
      <c r="H10" s="2">
        <f t="shared" si="0"/>
        <v>100</v>
      </c>
      <c r="I10" s="2">
        <v>140</v>
      </c>
      <c r="J10" s="2">
        <f t="shared" si="1"/>
        <v>240</v>
      </c>
      <c r="K10" s="1" t="s">
        <v>15</v>
      </c>
      <c r="L10">
        <v>22</v>
      </c>
      <c r="M10">
        <v>18</v>
      </c>
      <c r="N10">
        <v>273.89999999999998</v>
      </c>
      <c r="O10">
        <v>14.7</v>
      </c>
      <c r="P10">
        <f t="shared" si="2"/>
        <v>396</v>
      </c>
      <c r="Q10">
        <v>1261.5</v>
      </c>
      <c r="R10">
        <v>178.9</v>
      </c>
      <c r="S10">
        <f t="shared" si="3"/>
        <v>1440.4</v>
      </c>
      <c r="T10">
        <v>12</v>
      </c>
      <c r="U10" s="3">
        <f t="shared" si="4"/>
        <v>8431.8610413258812</v>
      </c>
      <c r="V10" s="3">
        <f t="shared" si="5"/>
        <v>235.08753311063629</v>
      </c>
    </row>
    <row r="11" spans="1:22" x14ac:dyDescent="0.3">
      <c r="A11">
        <v>2024</v>
      </c>
      <c r="B11" t="s">
        <v>35</v>
      </c>
      <c r="C11">
        <v>507</v>
      </c>
      <c r="D11" t="s">
        <v>10</v>
      </c>
      <c r="E11" s="1">
        <v>1</v>
      </c>
      <c r="F11" s="2" t="s">
        <v>11</v>
      </c>
      <c r="G11" s="2" t="s">
        <v>13</v>
      </c>
      <c r="H11" s="2">
        <f t="shared" si="0"/>
        <v>100</v>
      </c>
      <c r="I11" s="2">
        <v>140</v>
      </c>
      <c r="J11" s="2">
        <f t="shared" si="1"/>
        <v>240</v>
      </c>
      <c r="K11" s="1" t="s">
        <v>15</v>
      </c>
      <c r="L11">
        <v>25</v>
      </c>
      <c r="M11">
        <v>16</v>
      </c>
      <c r="N11">
        <v>273.89999999999998</v>
      </c>
      <c r="O11">
        <v>14.7</v>
      </c>
      <c r="P11">
        <f t="shared" si="2"/>
        <v>400</v>
      </c>
      <c r="Q11">
        <v>1261.5</v>
      </c>
      <c r="R11">
        <v>178.9</v>
      </c>
      <c r="S11">
        <f t="shared" si="3"/>
        <v>1440.4</v>
      </c>
      <c r="T11">
        <v>12</v>
      </c>
      <c r="U11" s="3">
        <f t="shared" si="4"/>
        <v>8431.8610413258812</v>
      </c>
      <c r="V11" s="3">
        <f t="shared" si="5"/>
        <v>235.08753311063629</v>
      </c>
    </row>
    <row r="12" spans="1:22" x14ac:dyDescent="0.3">
      <c r="A12">
        <v>2024</v>
      </c>
      <c r="B12" t="s">
        <v>35</v>
      </c>
      <c r="C12">
        <v>507</v>
      </c>
      <c r="D12" t="s">
        <v>10</v>
      </c>
      <c r="E12" s="1">
        <v>1</v>
      </c>
      <c r="F12" s="2" t="s">
        <v>11</v>
      </c>
      <c r="G12" s="2" t="s">
        <v>13</v>
      </c>
      <c r="H12" s="2">
        <f t="shared" si="0"/>
        <v>100</v>
      </c>
      <c r="I12" s="2">
        <v>140</v>
      </c>
      <c r="J12" s="2">
        <f t="shared" si="1"/>
        <v>240</v>
      </c>
      <c r="K12" s="1" t="s">
        <v>15</v>
      </c>
      <c r="L12">
        <v>34</v>
      </c>
      <c r="M12">
        <v>20</v>
      </c>
      <c r="N12">
        <v>273.89999999999998</v>
      </c>
      <c r="O12">
        <v>14.7</v>
      </c>
      <c r="P12">
        <f t="shared" si="2"/>
        <v>680</v>
      </c>
      <c r="Q12">
        <v>1261.5</v>
      </c>
      <c r="R12">
        <v>178.9</v>
      </c>
      <c r="S12">
        <f t="shared" si="3"/>
        <v>1440.4</v>
      </c>
      <c r="T12">
        <v>12</v>
      </c>
      <c r="U12" s="3">
        <f t="shared" si="4"/>
        <v>8431.8610413258812</v>
      </c>
      <c r="V12" s="3">
        <f t="shared" si="5"/>
        <v>235.08753311063629</v>
      </c>
    </row>
    <row r="13" spans="1:22" x14ac:dyDescent="0.3">
      <c r="A13">
        <v>2024</v>
      </c>
      <c r="B13" t="s">
        <v>35</v>
      </c>
      <c r="C13">
        <v>508</v>
      </c>
      <c r="D13" t="s">
        <v>10</v>
      </c>
      <c r="E13" s="1">
        <v>1</v>
      </c>
      <c r="F13" s="2" t="s">
        <v>11</v>
      </c>
      <c r="G13" s="2">
        <v>0</v>
      </c>
      <c r="H13" s="2">
        <f t="shared" si="0"/>
        <v>0</v>
      </c>
      <c r="I13" s="2">
        <v>0</v>
      </c>
      <c r="J13" s="2">
        <f t="shared" si="1"/>
        <v>0</v>
      </c>
      <c r="K13" s="1" t="s">
        <v>15</v>
      </c>
      <c r="L13">
        <v>14</v>
      </c>
      <c r="M13">
        <v>14</v>
      </c>
      <c r="N13">
        <v>274.2</v>
      </c>
      <c r="O13">
        <v>15.5</v>
      </c>
      <c r="P13">
        <f t="shared" si="2"/>
        <v>196</v>
      </c>
      <c r="Q13">
        <v>933</v>
      </c>
      <c r="R13">
        <v>106.2</v>
      </c>
      <c r="S13">
        <f t="shared" si="3"/>
        <v>1039.2</v>
      </c>
      <c r="T13">
        <v>12</v>
      </c>
      <c r="U13" s="3">
        <f t="shared" si="4"/>
        <v>5914.3015799362547</v>
      </c>
      <c r="V13" s="3">
        <f t="shared" si="5"/>
        <v>164.89581145669837</v>
      </c>
    </row>
    <row r="14" spans="1:22" x14ac:dyDescent="0.3">
      <c r="A14">
        <v>2024</v>
      </c>
      <c r="B14" t="s">
        <v>35</v>
      </c>
      <c r="C14">
        <v>508</v>
      </c>
      <c r="D14" t="s">
        <v>10</v>
      </c>
      <c r="E14" s="1">
        <v>1</v>
      </c>
      <c r="F14" s="2" t="s">
        <v>11</v>
      </c>
      <c r="G14" s="2">
        <v>0</v>
      </c>
      <c r="H14" s="2">
        <f t="shared" si="0"/>
        <v>0</v>
      </c>
      <c r="I14" s="2">
        <v>0</v>
      </c>
      <c r="J14" s="2">
        <f t="shared" si="1"/>
        <v>0</v>
      </c>
      <c r="K14" s="1" t="s">
        <v>15</v>
      </c>
      <c r="L14">
        <v>23</v>
      </c>
      <c r="M14">
        <v>18</v>
      </c>
      <c r="N14">
        <v>274.2</v>
      </c>
      <c r="O14">
        <v>15.5</v>
      </c>
      <c r="P14">
        <f t="shared" si="2"/>
        <v>414</v>
      </c>
      <c r="Q14">
        <v>933</v>
      </c>
      <c r="R14">
        <v>106.2</v>
      </c>
      <c r="S14">
        <f t="shared" si="3"/>
        <v>1039.2</v>
      </c>
      <c r="T14">
        <v>12</v>
      </c>
      <c r="U14" s="3">
        <f t="shared" si="4"/>
        <v>5914.3015799362547</v>
      </c>
      <c r="V14" s="3">
        <f t="shared" si="5"/>
        <v>164.89581145669837</v>
      </c>
    </row>
    <row r="15" spans="1:22" x14ac:dyDescent="0.3">
      <c r="A15">
        <v>2024</v>
      </c>
      <c r="B15" t="s">
        <v>35</v>
      </c>
      <c r="C15">
        <v>508</v>
      </c>
      <c r="D15" t="s">
        <v>10</v>
      </c>
      <c r="E15" s="1">
        <v>1</v>
      </c>
      <c r="F15" s="2" t="s">
        <v>11</v>
      </c>
      <c r="G15" s="2">
        <v>0</v>
      </c>
      <c r="H15" s="2">
        <f t="shared" si="0"/>
        <v>0</v>
      </c>
      <c r="I15" s="2">
        <v>0</v>
      </c>
      <c r="J15" s="2">
        <f t="shared" si="1"/>
        <v>0</v>
      </c>
      <c r="K15" s="1" t="s">
        <v>15</v>
      </c>
      <c r="L15">
        <v>30</v>
      </c>
      <c r="M15">
        <v>16</v>
      </c>
      <c r="N15">
        <v>274.2</v>
      </c>
      <c r="O15">
        <v>15.5</v>
      </c>
      <c r="P15">
        <f t="shared" si="2"/>
        <v>480</v>
      </c>
      <c r="Q15">
        <v>933</v>
      </c>
      <c r="R15">
        <v>106.2</v>
      </c>
      <c r="S15">
        <f t="shared" si="3"/>
        <v>1039.2</v>
      </c>
      <c r="T15">
        <v>12</v>
      </c>
      <c r="U15" s="3">
        <f t="shared" si="4"/>
        <v>5914.3015799362547</v>
      </c>
      <c r="V15" s="3">
        <f t="shared" si="5"/>
        <v>164.89581145669837</v>
      </c>
    </row>
    <row r="16" spans="1:22" x14ac:dyDescent="0.3">
      <c r="A16">
        <v>2024</v>
      </c>
      <c r="B16" t="s">
        <v>35</v>
      </c>
      <c r="C16">
        <v>508</v>
      </c>
      <c r="D16" t="s">
        <v>10</v>
      </c>
      <c r="E16" s="1">
        <v>1</v>
      </c>
      <c r="F16" s="2" t="s">
        <v>11</v>
      </c>
      <c r="G16" s="2">
        <v>0</v>
      </c>
      <c r="H16" s="2">
        <f t="shared" si="0"/>
        <v>0</v>
      </c>
      <c r="I16" s="2">
        <v>0</v>
      </c>
      <c r="J16" s="2">
        <f t="shared" si="1"/>
        <v>0</v>
      </c>
      <c r="K16" s="1" t="s">
        <v>15</v>
      </c>
      <c r="L16">
        <v>16</v>
      </c>
      <c r="M16">
        <v>16</v>
      </c>
      <c r="N16">
        <v>274.2</v>
      </c>
      <c r="O16">
        <v>15.5</v>
      </c>
      <c r="P16">
        <f t="shared" si="2"/>
        <v>256</v>
      </c>
      <c r="Q16">
        <v>933</v>
      </c>
      <c r="R16">
        <v>106.2</v>
      </c>
      <c r="S16">
        <f t="shared" si="3"/>
        <v>1039.2</v>
      </c>
      <c r="T16">
        <v>12</v>
      </c>
      <c r="U16" s="3">
        <f t="shared" si="4"/>
        <v>5914.3015799362547</v>
      </c>
      <c r="V16" s="3">
        <f t="shared" si="5"/>
        <v>164.89581145669837</v>
      </c>
    </row>
    <row r="17" spans="1:22" x14ac:dyDescent="0.3">
      <c r="A17">
        <v>2024</v>
      </c>
      <c r="B17" t="s">
        <v>35</v>
      </c>
      <c r="C17">
        <v>508</v>
      </c>
      <c r="D17" t="s">
        <v>10</v>
      </c>
      <c r="E17" s="1">
        <v>1</v>
      </c>
      <c r="F17" s="2" t="s">
        <v>11</v>
      </c>
      <c r="G17" s="2">
        <v>0</v>
      </c>
      <c r="H17" s="2">
        <f t="shared" si="0"/>
        <v>0</v>
      </c>
      <c r="I17" s="2">
        <v>0</v>
      </c>
      <c r="J17" s="2">
        <f t="shared" si="1"/>
        <v>0</v>
      </c>
      <c r="K17" s="1" t="s">
        <v>15</v>
      </c>
      <c r="L17">
        <v>29</v>
      </c>
      <c r="M17">
        <v>18</v>
      </c>
      <c r="N17">
        <v>274.2</v>
      </c>
      <c r="O17">
        <v>15.5</v>
      </c>
      <c r="P17">
        <f t="shared" si="2"/>
        <v>522</v>
      </c>
      <c r="Q17">
        <v>933</v>
      </c>
      <c r="R17">
        <v>106.2</v>
      </c>
      <c r="S17">
        <f t="shared" si="3"/>
        <v>1039.2</v>
      </c>
      <c r="T17">
        <v>12</v>
      </c>
      <c r="U17" s="3">
        <f t="shared" si="4"/>
        <v>5914.3015799362547</v>
      </c>
      <c r="V17" s="3">
        <f t="shared" si="5"/>
        <v>164.89581145669837</v>
      </c>
    </row>
    <row r="18" spans="1:22" x14ac:dyDescent="0.3">
      <c r="A18">
        <v>2024</v>
      </c>
      <c r="B18" t="s">
        <v>35</v>
      </c>
      <c r="C18">
        <v>508</v>
      </c>
      <c r="D18" t="s">
        <v>10</v>
      </c>
      <c r="E18" s="1">
        <v>1</v>
      </c>
      <c r="F18" s="2" t="s">
        <v>11</v>
      </c>
      <c r="G18" s="2">
        <v>0</v>
      </c>
      <c r="H18" s="2">
        <f t="shared" si="0"/>
        <v>0</v>
      </c>
      <c r="I18" s="2">
        <v>0</v>
      </c>
      <c r="J18" s="2">
        <f t="shared" si="1"/>
        <v>0</v>
      </c>
      <c r="K18" s="1" t="s">
        <v>15</v>
      </c>
      <c r="L18">
        <v>29</v>
      </c>
      <c r="M18">
        <v>18</v>
      </c>
      <c r="N18">
        <v>274.2</v>
      </c>
      <c r="O18">
        <v>15.5</v>
      </c>
      <c r="P18">
        <f t="shared" si="2"/>
        <v>522</v>
      </c>
      <c r="Q18">
        <v>933</v>
      </c>
      <c r="R18">
        <v>106.2</v>
      </c>
      <c r="S18">
        <f t="shared" si="3"/>
        <v>1039.2</v>
      </c>
      <c r="T18">
        <v>12</v>
      </c>
      <c r="U18" s="3">
        <f t="shared" si="4"/>
        <v>5914.3015799362547</v>
      </c>
      <c r="V18" s="3">
        <f t="shared" si="5"/>
        <v>164.89581145669837</v>
      </c>
    </row>
    <row r="19" spans="1:22" x14ac:dyDescent="0.3">
      <c r="A19">
        <v>2024</v>
      </c>
      <c r="B19" t="s">
        <v>35</v>
      </c>
      <c r="C19">
        <v>508</v>
      </c>
      <c r="D19" t="s">
        <v>10</v>
      </c>
      <c r="E19" s="1">
        <v>1</v>
      </c>
      <c r="F19" s="2" t="s">
        <v>11</v>
      </c>
      <c r="G19" s="2">
        <v>0</v>
      </c>
      <c r="H19" s="2">
        <f t="shared" si="0"/>
        <v>0</v>
      </c>
      <c r="I19" s="2">
        <v>0</v>
      </c>
      <c r="J19" s="2">
        <f t="shared" si="1"/>
        <v>0</v>
      </c>
      <c r="K19" s="1" t="s">
        <v>15</v>
      </c>
      <c r="L19">
        <v>31</v>
      </c>
      <c r="M19">
        <v>12</v>
      </c>
      <c r="N19">
        <v>274.2</v>
      </c>
      <c r="O19">
        <v>15.5</v>
      </c>
      <c r="P19">
        <f t="shared" si="2"/>
        <v>372</v>
      </c>
      <c r="Q19">
        <v>933</v>
      </c>
      <c r="R19">
        <v>106.2</v>
      </c>
      <c r="S19">
        <f t="shared" si="3"/>
        <v>1039.2</v>
      </c>
      <c r="T19">
        <v>12</v>
      </c>
      <c r="U19" s="3">
        <f t="shared" si="4"/>
        <v>5914.3015799362547</v>
      </c>
      <c r="V19" s="3">
        <f t="shared" si="5"/>
        <v>164.89581145669837</v>
      </c>
    </row>
    <row r="20" spans="1:22" x14ac:dyDescent="0.3">
      <c r="A20">
        <v>2024</v>
      </c>
      <c r="B20" t="s">
        <v>35</v>
      </c>
      <c r="C20">
        <v>508</v>
      </c>
      <c r="D20" t="s">
        <v>10</v>
      </c>
      <c r="E20" s="1">
        <v>1</v>
      </c>
      <c r="F20" s="2" t="s">
        <v>11</v>
      </c>
      <c r="G20" s="2">
        <v>0</v>
      </c>
      <c r="H20" s="2">
        <f t="shared" si="0"/>
        <v>0</v>
      </c>
      <c r="I20" s="2">
        <v>0</v>
      </c>
      <c r="J20" s="2">
        <f t="shared" si="1"/>
        <v>0</v>
      </c>
      <c r="K20" s="1" t="s">
        <v>15</v>
      </c>
      <c r="L20">
        <v>25</v>
      </c>
      <c r="M20">
        <v>16</v>
      </c>
      <c r="N20">
        <v>274.2</v>
      </c>
      <c r="O20">
        <v>15.5</v>
      </c>
      <c r="P20">
        <f t="shared" si="2"/>
        <v>400</v>
      </c>
      <c r="Q20">
        <v>933</v>
      </c>
      <c r="R20">
        <v>106.2</v>
      </c>
      <c r="S20">
        <f t="shared" si="3"/>
        <v>1039.2</v>
      </c>
      <c r="T20">
        <v>12</v>
      </c>
      <c r="U20" s="3">
        <f t="shared" si="4"/>
        <v>5914.3015799362547</v>
      </c>
      <c r="V20" s="3">
        <f t="shared" si="5"/>
        <v>164.89581145669837</v>
      </c>
    </row>
    <row r="21" spans="1:22" x14ac:dyDescent="0.3">
      <c r="A21">
        <v>2024</v>
      </c>
      <c r="B21" t="s">
        <v>35</v>
      </c>
      <c r="C21">
        <v>508</v>
      </c>
      <c r="D21" t="s">
        <v>10</v>
      </c>
      <c r="E21" s="1">
        <v>1</v>
      </c>
      <c r="F21" s="2" t="s">
        <v>11</v>
      </c>
      <c r="G21" s="2">
        <v>0</v>
      </c>
      <c r="H21" s="2">
        <f t="shared" si="0"/>
        <v>0</v>
      </c>
      <c r="I21" s="2">
        <v>0</v>
      </c>
      <c r="J21" s="2">
        <f t="shared" si="1"/>
        <v>0</v>
      </c>
      <c r="K21" s="1" t="s">
        <v>15</v>
      </c>
      <c r="L21">
        <v>21</v>
      </c>
      <c r="M21">
        <v>16</v>
      </c>
      <c r="N21">
        <v>274.2</v>
      </c>
      <c r="O21">
        <v>15.5</v>
      </c>
      <c r="P21">
        <f t="shared" si="2"/>
        <v>336</v>
      </c>
      <c r="Q21">
        <v>933</v>
      </c>
      <c r="R21">
        <v>106.2</v>
      </c>
      <c r="S21">
        <f t="shared" si="3"/>
        <v>1039.2</v>
      </c>
      <c r="T21">
        <v>12</v>
      </c>
      <c r="U21" s="3">
        <f t="shared" si="4"/>
        <v>5914.3015799362547</v>
      </c>
      <c r="V21" s="3">
        <f t="shared" si="5"/>
        <v>164.89581145669837</v>
      </c>
    </row>
    <row r="22" spans="1:22" x14ac:dyDescent="0.3">
      <c r="A22">
        <v>2024</v>
      </c>
      <c r="B22" t="s">
        <v>35</v>
      </c>
      <c r="C22">
        <v>509</v>
      </c>
      <c r="D22" t="s">
        <v>10</v>
      </c>
      <c r="E22" s="1">
        <v>1</v>
      </c>
      <c r="F22" s="2" t="s">
        <v>11</v>
      </c>
      <c r="G22" s="2" t="s">
        <v>14</v>
      </c>
      <c r="H22" s="2">
        <f t="shared" si="0"/>
        <v>100</v>
      </c>
      <c r="I22" s="2">
        <v>236</v>
      </c>
      <c r="J22" s="2">
        <f t="shared" si="1"/>
        <v>336</v>
      </c>
      <c r="K22" s="1" t="s">
        <v>15</v>
      </c>
      <c r="L22">
        <v>24</v>
      </c>
      <c r="M22">
        <v>18</v>
      </c>
      <c r="N22">
        <v>284.8</v>
      </c>
      <c r="O22">
        <v>15.6</v>
      </c>
      <c r="P22">
        <f t="shared" si="2"/>
        <v>432</v>
      </c>
      <c r="Q22">
        <v>1526.9</v>
      </c>
      <c r="R22">
        <v>178.5</v>
      </c>
      <c r="S22">
        <f t="shared" si="3"/>
        <v>1705.4</v>
      </c>
      <c r="T22">
        <v>14</v>
      </c>
      <c r="U22" s="3">
        <f t="shared" si="4"/>
        <v>9616.9978135922429</v>
      </c>
      <c r="V22" s="3">
        <f t="shared" si="5"/>
        <v>268.13016495967707</v>
      </c>
    </row>
    <row r="23" spans="1:22" x14ac:dyDescent="0.3">
      <c r="A23">
        <v>2024</v>
      </c>
      <c r="B23" t="s">
        <v>35</v>
      </c>
      <c r="C23">
        <v>509</v>
      </c>
      <c r="D23" t="s">
        <v>10</v>
      </c>
      <c r="E23" s="1">
        <v>1</v>
      </c>
      <c r="F23" s="2" t="s">
        <v>11</v>
      </c>
      <c r="G23" s="2" t="s">
        <v>14</v>
      </c>
      <c r="H23" s="2">
        <f t="shared" si="0"/>
        <v>100</v>
      </c>
      <c r="I23" s="2">
        <v>236</v>
      </c>
      <c r="J23" s="2">
        <f t="shared" si="1"/>
        <v>336</v>
      </c>
      <c r="K23" s="1" t="s">
        <v>15</v>
      </c>
      <c r="L23">
        <v>33</v>
      </c>
      <c r="M23">
        <v>15</v>
      </c>
      <c r="N23">
        <v>284.8</v>
      </c>
      <c r="O23">
        <v>15.6</v>
      </c>
      <c r="P23">
        <f t="shared" si="2"/>
        <v>495</v>
      </c>
      <c r="Q23">
        <v>1526.9</v>
      </c>
      <c r="R23">
        <v>178.5</v>
      </c>
      <c r="S23">
        <f t="shared" si="3"/>
        <v>1705.4</v>
      </c>
      <c r="T23">
        <v>14</v>
      </c>
      <c r="U23" s="3">
        <f t="shared" si="4"/>
        <v>9616.9978135922429</v>
      </c>
      <c r="V23" s="3">
        <f t="shared" si="5"/>
        <v>268.13016495967707</v>
      </c>
    </row>
    <row r="24" spans="1:22" x14ac:dyDescent="0.3">
      <c r="A24">
        <v>2024</v>
      </c>
      <c r="B24" t="s">
        <v>35</v>
      </c>
      <c r="C24">
        <v>509</v>
      </c>
      <c r="D24" t="s">
        <v>10</v>
      </c>
      <c r="E24" s="1">
        <v>1</v>
      </c>
      <c r="F24" s="2" t="s">
        <v>11</v>
      </c>
      <c r="G24" s="2" t="s">
        <v>14</v>
      </c>
      <c r="H24" s="2">
        <f t="shared" si="0"/>
        <v>100</v>
      </c>
      <c r="I24" s="2">
        <v>236</v>
      </c>
      <c r="J24" s="2">
        <f t="shared" si="1"/>
        <v>336</v>
      </c>
      <c r="K24" s="1" t="s">
        <v>15</v>
      </c>
      <c r="L24">
        <v>23</v>
      </c>
      <c r="M24">
        <v>14</v>
      </c>
      <c r="N24">
        <v>284.8</v>
      </c>
      <c r="O24">
        <v>15.6</v>
      </c>
      <c r="P24">
        <f t="shared" si="2"/>
        <v>322</v>
      </c>
      <c r="Q24">
        <v>1526.9</v>
      </c>
      <c r="R24">
        <v>178.5</v>
      </c>
      <c r="S24">
        <f t="shared" si="3"/>
        <v>1705.4</v>
      </c>
      <c r="T24">
        <v>14</v>
      </c>
      <c r="U24" s="3">
        <f t="shared" si="4"/>
        <v>9616.9978135922429</v>
      </c>
      <c r="V24" s="3">
        <f t="shared" si="5"/>
        <v>268.13016495967707</v>
      </c>
    </row>
    <row r="25" spans="1:22" x14ac:dyDescent="0.3">
      <c r="A25">
        <v>2024</v>
      </c>
      <c r="B25" t="s">
        <v>35</v>
      </c>
      <c r="C25">
        <v>509</v>
      </c>
      <c r="D25" t="s">
        <v>10</v>
      </c>
      <c r="E25" s="1">
        <v>1</v>
      </c>
      <c r="F25" s="2" t="s">
        <v>11</v>
      </c>
      <c r="G25" s="2" t="s">
        <v>14</v>
      </c>
      <c r="H25" s="2">
        <f t="shared" si="0"/>
        <v>100</v>
      </c>
      <c r="I25" s="2">
        <v>236</v>
      </c>
      <c r="J25" s="2">
        <f t="shared" si="1"/>
        <v>336</v>
      </c>
      <c r="K25" s="1" t="s">
        <v>15</v>
      </c>
      <c r="L25">
        <v>24</v>
      </c>
      <c r="M25">
        <v>18</v>
      </c>
      <c r="N25">
        <v>284.8</v>
      </c>
      <c r="O25">
        <v>15.6</v>
      </c>
      <c r="P25">
        <f t="shared" si="2"/>
        <v>432</v>
      </c>
      <c r="Q25">
        <v>1526.9</v>
      </c>
      <c r="R25">
        <v>178.5</v>
      </c>
      <c r="S25">
        <f t="shared" si="3"/>
        <v>1705.4</v>
      </c>
      <c r="T25">
        <v>14</v>
      </c>
      <c r="U25" s="3">
        <f t="shared" si="4"/>
        <v>9616.9978135922429</v>
      </c>
      <c r="V25" s="3">
        <f t="shared" si="5"/>
        <v>268.13016495967707</v>
      </c>
    </row>
    <row r="26" spans="1:22" x14ac:dyDescent="0.3">
      <c r="A26">
        <v>2024</v>
      </c>
      <c r="B26" t="s">
        <v>35</v>
      </c>
      <c r="C26">
        <v>509</v>
      </c>
      <c r="D26" t="s">
        <v>10</v>
      </c>
      <c r="E26" s="1">
        <v>1</v>
      </c>
      <c r="F26" s="2" t="s">
        <v>11</v>
      </c>
      <c r="G26" s="2" t="s">
        <v>14</v>
      </c>
      <c r="H26" s="2">
        <f t="shared" si="0"/>
        <v>100</v>
      </c>
      <c r="I26" s="2">
        <v>236</v>
      </c>
      <c r="J26" s="2">
        <f t="shared" si="1"/>
        <v>336</v>
      </c>
      <c r="K26" s="1" t="s">
        <v>15</v>
      </c>
      <c r="L26">
        <v>33</v>
      </c>
      <c r="M26">
        <v>20</v>
      </c>
      <c r="N26">
        <v>284.8</v>
      </c>
      <c r="O26">
        <v>15.6</v>
      </c>
      <c r="P26">
        <f t="shared" si="2"/>
        <v>660</v>
      </c>
      <c r="Q26">
        <v>1526.9</v>
      </c>
      <c r="R26">
        <v>178.5</v>
      </c>
      <c r="S26">
        <f t="shared" si="3"/>
        <v>1705.4</v>
      </c>
      <c r="T26">
        <v>14</v>
      </c>
      <c r="U26" s="3">
        <f t="shared" si="4"/>
        <v>9616.9978135922429</v>
      </c>
      <c r="V26" s="3">
        <f t="shared" si="5"/>
        <v>268.13016495967707</v>
      </c>
    </row>
    <row r="27" spans="1:22" x14ac:dyDescent="0.3">
      <c r="A27">
        <v>2024</v>
      </c>
      <c r="B27" t="s">
        <v>35</v>
      </c>
      <c r="C27">
        <v>509</v>
      </c>
      <c r="D27" t="s">
        <v>10</v>
      </c>
      <c r="E27" s="1">
        <v>1</v>
      </c>
      <c r="F27" s="2" t="s">
        <v>11</v>
      </c>
      <c r="G27" s="2" t="s">
        <v>14</v>
      </c>
      <c r="H27" s="2">
        <f t="shared" si="0"/>
        <v>100</v>
      </c>
      <c r="I27" s="2">
        <v>236</v>
      </c>
      <c r="J27" s="2">
        <f t="shared" si="1"/>
        <v>336</v>
      </c>
      <c r="K27" s="1" t="s">
        <v>15</v>
      </c>
      <c r="L27">
        <v>24</v>
      </c>
      <c r="M27">
        <v>14</v>
      </c>
      <c r="N27">
        <v>284.8</v>
      </c>
      <c r="O27">
        <v>15.6</v>
      </c>
      <c r="P27">
        <f t="shared" si="2"/>
        <v>336</v>
      </c>
      <c r="Q27">
        <v>1526.9</v>
      </c>
      <c r="R27">
        <v>178.5</v>
      </c>
      <c r="S27">
        <f t="shared" si="3"/>
        <v>1705.4</v>
      </c>
      <c r="T27">
        <v>14</v>
      </c>
      <c r="U27" s="3">
        <f t="shared" si="4"/>
        <v>9616.9978135922429</v>
      </c>
      <c r="V27" s="3">
        <f t="shared" si="5"/>
        <v>268.13016495967707</v>
      </c>
    </row>
    <row r="28" spans="1:22" x14ac:dyDescent="0.3">
      <c r="A28">
        <v>2024</v>
      </c>
      <c r="B28" t="s">
        <v>35</v>
      </c>
      <c r="C28">
        <v>509</v>
      </c>
      <c r="D28" t="s">
        <v>10</v>
      </c>
      <c r="E28" s="1">
        <v>1</v>
      </c>
      <c r="F28" s="2" t="s">
        <v>11</v>
      </c>
      <c r="G28" s="2" t="s">
        <v>14</v>
      </c>
      <c r="H28" s="2">
        <f t="shared" si="0"/>
        <v>100</v>
      </c>
      <c r="I28" s="2">
        <v>236</v>
      </c>
      <c r="J28" s="2">
        <f t="shared" si="1"/>
        <v>336</v>
      </c>
      <c r="K28" s="1" t="s">
        <v>15</v>
      </c>
      <c r="L28">
        <v>16</v>
      </c>
      <c r="M28">
        <v>16</v>
      </c>
      <c r="N28">
        <v>284.8</v>
      </c>
      <c r="O28">
        <v>15.6</v>
      </c>
      <c r="P28">
        <f t="shared" si="2"/>
        <v>256</v>
      </c>
      <c r="Q28">
        <v>1526.9</v>
      </c>
      <c r="R28">
        <v>178.5</v>
      </c>
      <c r="S28">
        <f t="shared" si="3"/>
        <v>1705.4</v>
      </c>
      <c r="T28">
        <v>14</v>
      </c>
      <c r="U28" s="3">
        <f t="shared" si="4"/>
        <v>9616.9978135922429</v>
      </c>
      <c r="V28" s="3">
        <f t="shared" si="5"/>
        <v>268.13016495967707</v>
      </c>
    </row>
    <row r="29" spans="1:22" x14ac:dyDescent="0.3">
      <c r="A29">
        <v>2024</v>
      </c>
      <c r="B29" t="s">
        <v>35</v>
      </c>
      <c r="C29">
        <v>509</v>
      </c>
      <c r="D29" t="s">
        <v>10</v>
      </c>
      <c r="E29" s="1">
        <v>1</v>
      </c>
      <c r="F29" s="2" t="s">
        <v>11</v>
      </c>
      <c r="G29" s="2" t="s">
        <v>14</v>
      </c>
      <c r="H29" s="2">
        <f t="shared" si="0"/>
        <v>100</v>
      </c>
      <c r="I29" s="2">
        <v>236</v>
      </c>
      <c r="J29" s="2">
        <f t="shared" si="1"/>
        <v>336</v>
      </c>
      <c r="K29" s="1" t="s">
        <v>15</v>
      </c>
      <c r="L29">
        <v>18</v>
      </c>
      <c r="M29">
        <v>12</v>
      </c>
      <c r="N29">
        <v>284.8</v>
      </c>
      <c r="O29">
        <v>15.6</v>
      </c>
      <c r="P29">
        <f t="shared" si="2"/>
        <v>216</v>
      </c>
      <c r="Q29">
        <v>1526.9</v>
      </c>
      <c r="R29">
        <v>178.5</v>
      </c>
      <c r="S29">
        <f t="shared" si="3"/>
        <v>1705.4</v>
      </c>
      <c r="T29">
        <v>14</v>
      </c>
      <c r="U29" s="3">
        <f t="shared" si="4"/>
        <v>9616.9978135922429</v>
      </c>
      <c r="V29" s="3">
        <f t="shared" si="5"/>
        <v>268.13016495967707</v>
      </c>
    </row>
    <row r="30" spans="1:22" x14ac:dyDescent="0.3">
      <c r="A30">
        <v>2024</v>
      </c>
      <c r="B30" t="s">
        <v>35</v>
      </c>
      <c r="C30">
        <v>509</v>
      </c>
      <c r="D30" t="s">
        <v>10</v>
      </c>
      <c r="E30" s="1">
        <v>1</v>
      </c>
      <c r="F30" s="2" t="s">
        <v>11</v>
      </c>
      <c r="G30" s="2" t="s">
        <v>14</v>
      </c>
      <c r="H30" s="2">
        <f t="shared" si="0"/>
        <v>100</v>
      </c>
      <c r="I30" s="2">
        <v>236</v>
      </c>
      <c r="J30" s="2">
        <f t="shared" si="1"/>
        <v>336</v>
      </c>
      <c r="K30" s="1" t="s">
        <v>15</v>
      </c>
      <c r="L30">
        <v>27</v>
      </c>
      <c r="M30">
        <v>18</v>
      </c>
      <c r="N30">
        <v>284.8</v>
      </c>
      <c r="O30">
        <v>15.6</v>
      </c>
      <c r="P30">
        <f t="shared" si="2"/>
        <v>486</v>
      </c>
      <c r="Q30">
        <v>1526.9</v>
      </c>
      <c r="R30">
        <v>178.5</v>
      </c>
      <c r="S30">
        <f t="shared" si="3"/>
        <v>1705.4</v>
      </c>
      <c r="T30">
        <v>14</v>
      </c>
      <c r="U30" s="3">
        <f t="shared" si="4"/>
        <v>9616.9978135922429</v>
      </c>
      <c r="V30" s="3">
        <f t="shared" si="5"/>
        <v>268.13016495967707</v>
      </c>
    </row>
    <row r="31" spans="1:22" x14ac:dyDescent="0.3">
      <c r="A31">
        <v>2024</v>
      </c>
      <c r="B31" t="s">
        <v>35</v>
      </c>
      <c r="C31">
        <v>509</v>
      </c>
      <c r="D31" t="s">
        <v>10</v>
      </c>
      <c r="E31" s="1">
        <v>1</v>
      </c>
      <c r="F31" s="2" t="s">
        <v>11</v>
      </c>
      <c r="G31" s="2" t="s">
        <v>14</v>
      </c>
      <c r="H31" s="2">
        <f t="shared" si="0"/>
        <v>100</v>
      </c>
      <c r="I31" s="2">
        <v>236</v>
      </c>
      <c r="J31" s="2">
        <f t="shared" si="1"/>
        <v>336</v>
      </c>
      <c r="K31" s="1" t="s">
        <v>15</v>
      </c>
      <c r="L31">
        <v>22</v>
      </c>
      <c r="M31">
        <v>13</v>
      </c>
      <c r="N31">
        <v>284.8</v>
      </c>
      <c r="O31">
        <v>15.6</v>
      </c>
      <c r="P31">
        <f t="shared" si="2"/>
        <v>286</v>
      </c>
      <c r="Q31">
        <v>1526.9</v>
      </c>
      <c r="R31">
        <v>178.5</v>
      </c>
      <c r="S31">
        <f t="shared" si="3"/>
        <v>1705.4</v>
      </c>
      <c r="T31">
        <v>14</v>
      </c>
      <c r="U31" s="3">
        <f t="shared" si="4"/>
        <v>9616.9978135922429</v>
      </c>
      <c r="V31" s="3">
        <f t="shared" si="5"/>
        <v>268.13016495967707</v>
      </c>
    </row>
    <row r="32" spans="1:22" x14ac:dyDescent="0.3">
      <c r="A32">
        <v>2024</v>
      </c>
      <c r="B32" t="s">
        <v>35</v>
      </c>
      <c r="C32">
        <v>509</v>
      </c>
      <c r="D32" t="s">
        <v>10</v>
      </c>
      <c r="E32" s="1">
        <v>1</v>
      </c>
      <c r="F32" s="2" t="s">
        <v>11</v>
      </c>
      <c r="G32" s="2" t="s">
        <v>14</v>
      </c>
      <c r="H32" s="2">
        <f t="shared" si="0"/>
        <v>100</v>
      </c>
      <c r="I32" s="2">
        <v>236</v>
      </c>
      <c r="J32" s="2">
        <f t="shared" si="1"/>
        <v>336</v>
      </c>
      <c r="K32" s="1" t="s">
        <v>15</v>
      </c>
      <c r="L32">
        <v>29</v>
      </c>
      <c r="M32">
        <v>16</v>
      </c>
      <c r="N32">
        <v>284.8</v>
      </c>
      <c r="O32">
        <v>15.6</v>
      </c>
      <c r="P32">
        <f t="shared" si="2"/>
        <v>464</v>
      </c>
      <c r="Q32">
        <v>1526.9</v>
      </c>
      <c r="R32">
        <v>178.5</v>
      </c>
      <c r="S32">
        <f t="shared" si="3"/>
        <v>1705.4</v>
      </c>
      <c r="T32">
        <v>14</v>
      </c>
      <c r="U32" s="3">
        <f t="shared" si="4"/>
        <v>9616.9978135922429</v>
      </c>
      <c r="V32" s="3">
        <f t="shared" si="5"/>
        <v>268.13016495967707</v>
      </c>
    </row>
    <row r="33" spans="1:22" x14ac:dyDescent="0.3">
      <c r="A33">
        <v>2024</v>
      </c>
      <c r="B33" t="s">
        <v>35</v>
      </c>
      <c r="C33">
        <v>509</v>
      </c>
      <c r="D33" t="s">
        <v>10</v>
      </c>
      <c r="E33" s="1">
        <v>1</v>
      </c>
      <c r="F33" s="2" t="s">
        <v>11</v>
      </c>
      <c r="G33" s="2" t="s">
        <v>14</v>
      </c>
      <c r="H33" s="2">
        <f t="shared" si="0"/>
        <v>100</v>
      </c>
      <c r="I33" s="2">
        <v>236</v>
      </c>
      <c r="J33" s="2">
        <f t="shared" si="1"/>
        <v>336</v>
      </c>
      <c r="K33" s="1" t="s">
        <v>15</v>
      </c>
      <c r="L33">
        <v>29</v>
      </c>
      <c r="M33">
        <v>16</v>
      </c>
      <c r="N33">
        <v>284.8</v>
      </c>
      <c r="O33">
        <v>15.6</v>
      </c>
      <c r="P33">
        <f t="shared" si="2"/>
        <v>464</v>
      </c>
      <c r="Q33">
        <v>1526.9</v>
      </c>
      <c r="R33">
        <v>178.5</v>
      </c>
      <c r="S33">
        <f t="shared" si="3"/>
        <v>1705.4</v>
      </c>
      <c r="T33">
        <v>14</v>
      </c>
      <c r="U33" s="3">
        <f t="shared" si="4"/>
        <v>9616.9978135922429</v>
      </c>
      <c r="V33" s="3">
        <f t="shared" si="5"/>
        <v>268.13016495967707</v>
      </c>
    </row>
    <row r="34" spans="1:22" x14ac:dyDescent="0.3">
      <c r="A34">
        <v>2024</v>
      </c>
      <c r="B34" t="s">
        <v>35</v>
      </c>
      <c r="C34">
        <v>509</v>
      </c>
      <c r="D34" t="s">
        <v>10</v>
      </c>
      <c r="E34" s="1">
        <v>1</v>
      </c>
      <c r="F34" s="2" t="s">
        <v>11</v>
      </c>
      <c r="G34" s="2" t="s">
        <v>14</v>
      </c>
      <c r="H34" s="2">
        <f t="shared" si="0"/>
        <v>100</v>
      </c>
      <c r="I34" s="2">
        <v>236</v>
      </c>
      <c r="J34" s="2">
        <f t="shared" si="1"/>
        <v>336</v>
      </c>
      <c r="K34" s="1" t="s">
        <v>15</v>
      </c>
      <c r="L34">
        <v>26</v>
      </c>
      <c r="M34">
        <v>16</v>
      </c>
      <c r="N34">
        <v>284.8</v>
      </c>
      <c r="O34">
        <v>15.6</v>
      </c>
      <c r="P34">
        <f t="shared" si="2"/>
        <v>416</v>
      </c>
      <c r="Q34">
        <v>1526.9</v>
      </c>
      <c r="R34">
        <v>178.5</v>
      </c>
      <c r="S34">
        <f t="shared" si="3"/>
        <v>1705.4</v>
      </c>
      <c r="T34">
        <v>14</v>
      </c>
      <c r="U34" s="3">
        <f t="shared" si="4"/>
        <v>9616.9978135922429</v>
      </c>
      <c r="V34" s="3">
        <f t="shared" si="5"/>
        <v>268.13016495967707</v>
      </c>
    </row>
    <row r="35" spans="1:22" x14ac:dyDescent="0.3">
      <c r="A35">
        <v>2024</v>
      </c>
      <c r="B35" t="s">
        <v>35</v>
      </c>
      <c r="C35">
        <v>510</v>
      </c>
      <c r="D35" t="s">
        <v>10</v>
      </c>
      <c r="E35" s="1">
        <v>1</v>
      </c>
      <c r="F35" s="2" t="s">
        <v>12</v>
      </c>
      <c r="G35" s="2">
        <v>0</v>
      </c>
      <c r="H35" s="2">
        <f t="shared" si="0"/>
        <v>0</v>
      </c>
      <c r="I35" s="2">
        <v>0</v>
      </c>
      <c r="J35" s="2">
        <f t="shared" si="1"/>
        <v>0</v>
      </c>
      <c r="K35" s="1" t="s">
        <v>15</v>
      </c>
      <c r="L35">
        <v>18</v>
      </c>
      <c r="M35">
        <v>18</v>
      </c>
      <c r="N35">
        <v>259.39999999999998</v>
      </c>
      <c r="O35">
        <v>16.2</v>
      </c>
      <c r="P35">
        <f t="shared" si="2"/>
        <v>324</v>
      </c>
      <c r="Q35">
        <v>1129.7</v>
      </c>
      <c r="R35">
        <v>148.4</v>
      </c>
      <c r="S35">
        <f t="shared" si="3"/>
        <v>1278.1000000000001</v>
      </c>
      <c r="T35">
        <v>12</v>
      </c>
      <c r="U35" s="3">
        <f t="shared" si="4"/>
        <v>6851.751992790867</v>
      </c>
      <c r="V35" s="3">
        <f t="shared" si="5"/>
        <v>191.0327347161552</v>
      </c>
    </row>
    <row r="36" spans="1:22" x14ac:dyDescent="0.3">
      <c r="A36">
        <v>2024</v>
      </c>
      <c r="B36" t="s">
        <v>35</v>
      </c>
      <c r="C36">
        <v>510</v>
      </c>
      <c r="D36" t="s">
        <v>10</v>
      </c>
      <c r="E36" s="1">
        <v>1</v>
      </c>
      <c r="F36" s="2" t="s">
        <v>12</v>
      </c>
      <c r="G36" s="2">
        <v>0</v>
      </c>
      <c r="H36" s="2">
        <f t="shared" si="0"/>
        <v>0</v>
      </c>
      <c r="I36" s="2">
        <v>0</v>
      </c>
      <c r="J36" s="2">
        <f t="shared" si="1"/>
        <v>0</v>
      </c>
      <c r="K36" s="1" t="s">
        <v>15</v>
      </c>
      <c r="L36">
        <v>29</v>
      </c>
      <c r="M36">
        <v>16</v>
      </c>
      <c r="N36">
        <v>259.39999999999998</v>
      </c>
      <c r="O36">
        <v>16.2</v>
      </c>
      <c r="P36">
        <f t="shared" si="2"/>
        <v>464</v>
      </c>
      <c r="Q36">
        <v>1129.7</v>
      </c>
      <c r="R36">
        <v>148.4</v>
      </c>
      <c r="S36">
        <f t="shared" si="3"/>
        <v>1278.1000000000001</v>
      </c>
      <c r="T36">
        <v>12</v>
      </c>
      <c r="U36" s="3">
        <f t="shared" si="4"/>
        <v>6851.751992790867</v>
      </c>
      <c r="V36" s="3">
        <f t="shared" si="5"/>
        <v>191.0327347161552</v>
      </c>
    </row>
    <row r="37" spans="1:22" x14ac:dyDescent="0.3">
      <c r="A37">
        <v>2024</v>
      </c>
      <c r="B37" t="s">
        <v>35</v>
      </c>
      <c r="C37">
        <v>510</v>
      </c>
      <c r="D37" t="s">
        <v>10</v>
      </c>
      <c r="E37" s="1">
        <v>1</v>
      </c>
      <c r="F37" s="2" t="s">
        <v>12</v>
      </c>
      <c r="G37" s="2">
        <v>0</v>
      </c>
      <c r="H37" s="2">
        <f t="shared" si="0"/>
        <v>0</v>
      </c>
      <c r="I37" s="2">
        <v>0</v>
      </c>
      <c r="J37" s="2">
        <f t="shared" si="1"/>
        <v>0</v>
      </c>
      <c r="K37" s="1" t="s">
        <v>15</v>
      </c>
      <c r="L37">
        <v>16</v>
      </c>
      <c r="M37">
        <v>16</v>
      </c>
      <c r="N37">
        <v>259.39999999999998</v>
      </c>
      <c r="O37">
        <v>16.2</v>
      </c>
      <c r="P37">
        <f t="shared" si="2"/>
        <v>256</v>
      </c>
      <c r="Q37">
        <v>1129.7</v>
      </c>
      <c r="R37">
        <v>148.4</v>
      </c>
      <c r="S37">
        <f t="shared" si="3"/>
        <v>1278.1000000000001</v>
      </c>
      <c r="T37">
        <v>12</v>
      </c>
      <c r="U37" s="3">
        <f t="shared" si="4"/>
        <v>6851.751992790867</v>
      </c>
      <c r="V37" s="3">
        <f t="shared" si="5"/>
        <v>191.0327347161552</v>
      </c>
    </row>
    <row r="38" spans="1:22" x14ac:dyDescent="0.3">
      <c r="A38">
        <v>2024</v>
      </c>
      <c r="B38" t="s">
        <v>35</v>
      </c>
      <c r="C38">
        <v>510</v>
      </c>
      <c r="D38" t="s">
        <v>10</v>
      </c>
      <c r="E38" s="1">
        <v>1</v>
      </c>
      <c r="F38" s="2" t="s">
        <v>12</v>
      </c>
      <c r="G38" s="2">
        <v>0</v>
      </c>
      <c r="H38" s="2">
        <f t="shared" si="0"/>
        <v>0</v>
      </c>
      <c r="I38" s="2">
        <v>0</v>
      </c>
      <c r="J38" s="2">
        <f t="shared" si="1"/>
        <v>0</v>
      </c>
      <c r="K38" s="1" t="s">
        <v>15</v>
      </c>
      <c r="L38">
        <v>16</v>
      </c>
      <c r="M38">
        <v>18</v>
      </c>
      <c r="N38">
        <v>259.39999999999998</v>
      </c>
      <c r="O38">
        <v>16.2</v>
      </c>
      <c r="P38">
        <f t="shared" si="2"/>
        <v>288</v>
      </c>
      <c r="Q38">
        <v>1129.7</v>
      </c>
      <c r="R38">
        <v>148.4</v>
      </c>
      <c r="S38">
        <f t="shared" si="3"/>
        <v>1278.1000000000001</v>
      </c>
      <c r="T38">
        <v>12</v>
      </c>
      <c r="U38" s="3">
        <f t="shared" si="4"/>
        <v>6851.751992790867</v>
      </c>
      <c r="V38" s="3">
        <f t="shared" si="5"/>
        <v>191.0327347161552</v>
      </c>
    </row>
    <row r="39" spans="1:22" x14ac:dyDescent="0.3">
      <c r="A39">
        <v>2024</v>
      </c>
      <c r="B39" t="s">
        <v>35</v>
      </c>
      <c r="C39">
        <v>510</v>
      </c>
      <c r="D39" t="s">
        <v>10</v>
      </c>
      <c r="E39" s="1">
        <v>1</v>
      </c>
      <c r="F39" s="2" t="s">
        <v>12</v>
      </c>
      <c r="G39" s="2">
        <v>0</v>
      </c>
      <c r="H39" s="2">
        <f t="shared" si="0"/>
        <v>0</v>
      </c>
      <c r="I39" s="2">
        <v>0</v>
      </c>
      <c r="J39" s="2">
        <f t="shared" si="1"/>
        <v>0</v>
      </c>
      <c r="K39" s="1" t="s">
        <v>15</v>
      </c>
      <c r="L39">
        <v>31</v>
      </c>
      <c r="M39">
        <v>16</v>
      </c>
      <c r="N39">
        <v>259.39999999999998</v>
      </c>
      <c r="O39">
        <v>16.2</v>
      </c>
      <c r="P39">
        <f t="shared" si="2"/>
        <v>496</v>
      </c>
      <c r="Q39">
        <v>1129.7</v>
      </c>
      <c r="R39">
        <v>148.4</v>
      </c>
      <c r="S39">
        <f t="shared" si="3"/>
        <v>1278.1000000000001</v>
      </c>
      <c r="T39">
        <v>12</v>
      </c>
      <c r="U39" s="3">
        <f t="shared" si="4"/>
        <v>6851.751992790867</v>
      </c>
      <c r="V39" s="3">
        <f t="shared" si="5"/>
        <v>191.0327347161552</v>
      </c>
    </row>
    <row r="40" spans="1:22" x14ac:dyDescent="0.3">
      <c r="A40">
        <v>2024</v>
      </c>
      <c r="B40" t="s">
        <v>35</v>
      </c>
      <c r="C40">
        <v>510</v>
      </c>
      <c r="D40" t="s">
        <v>10</v>
      </c>
      <c r="E40" s="1">
        <v>1</v>
      </c>
      <c r="F40" s="2" t="s">
        <v>12</v>
      </c>
      <c r="G40" s="2">
        <v>0</v>
      </c>
      <c r="H40" s="2">
        <f t="shared" si="0"/>
        <v>0</v>
      </c>
      <c r="I40" s="2">
        <v>0</v>
      </c>
      <c r="J40" s="2">
        <f t="shared" si="1"/>
        <v>0</v>
      </c>
      <c r="K40" s="1" t="s">
        <v>15</v>
      </c>
      <c r="L40">
        <v>21</v>
      </c>
      <c r="M40">
        <v>14</v>
      </c>
      <c r="N40">
        <v>259.39999999999998</v>
      </c>
      <c r="O40">
        <v>16.2</v>
      </c>
      <c r="P40">
        <f t="shared" si="2"/>
        <v>294</v>
      </c>
      <c r="Q40">
        <v>1129.7</v>
      </c>
      <c r="R40">
        <v>148.4</v>
      </c>
      <c r="S40">
        <f t="shared" si="3"/>
        <v>1278.1000000000001</v>
      </c>
      <c r="T40">
        <v>12</v>
      </c>
      <c r="U40" s="3">
        <f t="shared" si="4"/>
        <v>6851.751992790867</v>
      </c>
      <c r="V40" s="3">
        <f t="shared" si="5"/>
        <v>191.0327347161552</v>
      </c>
    </row>
    <row r="41" spans="1:22" x14ac:dyDescent="0.3">
      <c r="A41">
        <v>2024</v>
      </c>
      <c r="B41" t="s">
        <v>35</v>
      </c>
      <c r="C41">
        <v>510</v>
      </c>
      <c r="D41" t="s">
        <v>10</v>
      </c>
      <c r="E41" s="1">
        <v>1</v>
      </c>
      <c r="F41" s="2" t="s">
        <v>12</v>
      </c>
      <c r="G41" s="2">
        <v>0</v>
      </c>
      <c r="H41" s="2">
        <f t="shared" si="0"/>
        <v>0</v>
      </c>
      <c r="I41" s="2">
        <v>0</v>
      </c>
      <c r="J41" s="2">
        <f t="shared" si="1"/>
        <v>0</v>
      </c>
      <c r="K41" s="1" t="s">
        <v>15</v>
      </c>
      <c r="L41">
        <v>24</v>
      </c>
      <c r="M41">
        <v>16</v>
      </c>
      <c r="N41">
        <v>259.39999999999998</v>
      </c>
      <c r="O41">
        <v>16.2</v>
      </c>
      <c r="P41">
        <f t="shared" si="2"/>
        <v>384</v>
      </c>
      <c r="Q41">
        <v>1129.7</v>
      </c>
      <c r="R41">
        <v>148.4</v>
      </c>
      <c r="S41">
        <f t="shared" si="3"/>
        <v>1278.1000000000001</v>
      </c>
      <c r="T41">
        <v>12</v>
      </c>
      <c r="U41" s="3">
        <f t="shared" si="4"/>
        <v>6851.751992790867</v>
      </c>
      <c r="V41" s="3">
        <f t="shared" si="5"/>
        <v>191.0327347161552</v>
      </c>
    </row>
    <row r="42" spans="1:22" x14ac:dyDescent="0.3">
      <c r="A42">
        <v>2024</v>
      </c>
      <c r="B42" t="s">
        <v>35</v>
      </c>
      <c r="C42">
        <v>510</v>
      </c>
      <c r="D42" t="s">
        <v>10</v>
      </c>
      <c r="E42" s="1">
        <v>1</v>
      </c>
      <c r="F42" s="2" t="s">
        <v>12</v>
      </c>
      <c r="G42" s="2">
        <v>0</v>
      </c>
      <c r="H42" s="2">
        <f t="shared" si="0"/>
        <v>0</v>
      </c>
      <c r="I42" s="2">
        <v>0</v>
      </c>
      <c r="J42" s="2">
        <f t="shared" si="1"/>
        <v>0</v>
      </c>
      <c r="K42" s="1" t="s">
        <v>15</v>
      </c>
      <c r="L42">
        <v>26</v>
      </c>
      <c r="M42">
        <v>18</v>
      </c>
      <c r="N42">
        <v>259.39999999999998</v>
      </c>
      <c r="O42">
        <v>16.2</v>
      </c>
      <c r="P42">
        <f t="shared" si="2"/>
        <v>468</v>
      </c>
      <c r="Q42">
        <v>1129.7</v>
      </c>
      <c r="R42">
        <v>148.4</v>
      </c>
      <c r="S42">
        <f t="shared" si="3"/>
        <v>1278.1000000000001</v>
      </c>
      <c r="T42">
        <v>12</v>
      </c>
      <c r="U42" s="3">
        <f t="shared" si="4"/>
        <v>6851.751992790867</v>
      </c>
      <c r="V42" s="3">
        <f t="shared" si="5"/>
        <v>191.0327347161552</v>
      </c>
    </row>
    <row r="43" spans="1:22" x14ac:dyDescent="0.3">
      <c r="A43">
        <v>2024</v>
      </c>
      <c r="B43" t="s">
        <v>35</v>
      </c>
      <c r="C43">
        <v>510</v>
      </c>
      <c r="D43" t="s">
        <v>10</v>
      </c>
      <c r="E43" s="1">
        <v>1</v>
      </c>
      <c r="F43" s="2" t="s">
        <v>12</v>
      </c>
      <c r="G43" s="2">
        <v>0</v>
      </c>
      <c r="H43" s="2">
        <f t="shared" si="0"/>
        <v>0</v>
      </c>
      <c r="I43" s="2">
        <v>0</v>
      </c>
      <c r="J43" s="2">
        <f t="shared" si="1"/>
        <v>0</v>
      </c>
      <c r="K43" s="1" t="s">
        <v>15</v>
      </c>
      <c r="L43">
        <v>24</v>
      </c>
      <c r="M43">
        <v>16</v>
      </c>
      <c r="N43">
        <v>259.39999999999998</v>
      </c>
      <c r="O43">
        <v>16.2</v>
      </c>
      <c r="P43">
        <f t="shared" si="2"/>
        <v>384</v>
      </c>
      <c r="Q43">
        <v>1129.7</v>
      </c>
      <c r="R43">
        <v>148.4</v>
      </c>
      <c r="S43">
        <f t="shared" si="3"/>
        <v>1278.1000000000001</v>
      </c>
      <c r="T43">
        <v>12</v>
      </c>
      <c r="U43" s="3">
        <f t="shared" si="4"/>
        <v>6851.751992790867</v>
      </c>
      <c r="V43" s="3">
        <f t="shared" si="5"/>
        <v>191.0327347161552</v>
      </c>
    </row>
    <row r="44" spans="1:22" x14ac:dyDescent="0.3">
      <c r="A44">
        <v>2024</v>
      </c>
      <c r="B44" t="s">
        <v>35</v>
      </c>
      <c r="C44">
        <v>510</v>
      </c>
      <c r="D44" t="s">
        <v>10</v>
      </c>
      <c r="E44" s="1">
        <v>1</v>
      </c>
      <c r="F44" s="2" t="s">
        <v>12</v>
      </c>
      <c r="G44" s="2">
        <v>0</v>
      </c>
      <c r="H44" s="2">
        <f t="shared" si="0"/>
        <v>0</v>
      </c>
      <c r="I44" s="2">
        <v>0</v>
      </c>
      <c r="J44" s="2">
        <f t="shared" si="1"/>
        <v>0</v>
      </c>
      <c r="K44" s="1" t="s">
        <v>15</v>
      </c>
      <c r="L44">
        <v>26</v>
      </c>
      <c r="M44">
        <v>18</v>
      </c>
      <c r="N44">
        <v>259.39999999999998</v>
      </c>
      <c r="O44">
        <v>16.2</v>
      </c>
      <c r="P44">
        <f t="shared" si="2"/>
        <v>468</v>
      </c>
      <c r="Q44">
        <v>1129.7</v>
      </c>
      <c r="R44">
        <v>148.4</v>
      </c>
      <c r="S44">
        <f t="shared" si="3"/>
        <v>1278.1000000000001</v>
      </c>
      <c r="T44">
        <v>12</v>
      </c>
      <c r="U44" s="3">
        <f t="shared" si="4"/>
        <v>6851.751992790867</v>
      </c>
      <c r="V44" s="3">
        <f t="shared" si="5"/>
        <v>191.0327347161552</v>
      </c>
    </row>
    <row r="45" spans="1:22" x14ac:dyDescent="0.3">
      <c r="A45">
        <v>2024</v>
      </c>
      <c r="B45" t="s">
        <v>35</v>
      </c>
      <c r="C45">
        <v>510</v>
      </c>
      <c r="D45" t="s">
        <v>10</v>
      </c>
      <c r="E45" s="1">
        <v>1</v>
      </c>
      <c r="F45" s="2" t="s">
        <v>12</v>
      </c>
      <c r="G45" s="2">
        <v>0</v>
      </c>
      <c r="H45" s="2">
        <f t="shared" si="0"/>
        <v>0</v>
      </c>
      <c r="I45" s="2">
        <v>0</v>
      </c>
      <c r="J45" s="2">
        <f t="shared" si="1"/>
        <v>0</v>
      </c>
      <c r="K45" s="1" t="s">
        <v>15</v>
      </c>
      <c r="L45">
        <v>24</v>
      </c>
      <c r="M45">
        <v>16</v>
      </c>
      <c r="N45">
        <v>259.39999999999998</v>
      </c>
      <c r="O45">
        <v>16.2</v>
      </c>
      <c r="P45">
        <f t="shared" si="2"/>
        <v>384</v>
      </c>
      <c r="Q45">
        <v>1129.7</v>
      </c>
      <c r="R45">
        <v>148.4</v>
      </c>
      <c r="S45">
        <f t="shared" si="3"/>
        <v>1278.1000000000001</v>
      </c>
      <c r="T45">
        <v>12</v>
      </c>
      <c r="U45" s="3">
        <f t="shared" si="4"/>
        <v>6851.751992790867</v>
      </c>
      <c r="V45" s="3">
        <f t="shared" si="5"/>
        <v>191.0327347161552</v>
      </c>
    </row>
    <row r="46" spans="1:22" x14ac:dyDescent="0.3">
      <c r="A46">
        <v>2024</v>
      </c>
      <c r="B46" t="s">
        <v>35</v>
      </c>
      <c r="C46">
        <v>510</v>
      </c>
      <c r="D46" t="s">
        <v>10</v>
      </c>
      <c r="E46" s="1">
        <v>1</v>
      </c>
      <c r="F46" s="2" t="s">
        <v>12</v>
      </c>
      <c r="G46" s="2">
        <v>0</v>
      </c>
      <c r="H46" s="2">
        <f t="shared" si="0"/>
        <v>0</v>
      </c>
      <c r="I46" s="2">
        <v>0</v>
      </c>
      <c r="J46" s="2">
        <f t="shared" si="1"/>
        <v>0</v>
      </c>
      <c r="K46" s="1" t="s">
        <v>15</v>
      </c>
      <c r="L46">
        <v>24</v>
      </c>
      <c r="M46">
        <v>16</v>
      </c>
      <c r="N46">
        <v>259.39999999999998</v>
      </c>
      <c r="O46">
        <v>16.2</v>
      </c>
      <c r="P46">
        <f t="shared" si="2"/>
        <v>384</v>
      </c>
      <c r="Q46">
        <v>1129.7</v>
      </c>
      <c r="R46">
        <v>148.4</v>
      </c>
      <c r="S46">
        <f t="shared" si="3"/>
        <v>1278.1000000000001</v>
      </c>
      <c r="T46">
        <v>12</v>
      </c>
      <c r="U46" s="3">
        <f t="shared" si="4"/>
        <v>6851.751992790867</v>
      </c>
      <c r="V46" s="3">
        <f t="shared" si="5"/>
        <v>191.0327347161552</v>
      </c>
    </row>
    <row r="47" spans="1:22" x14ac:dyDescent="0.3">
      <c r="A47">
        <v>2024</v>
      </c>
      <c r="B47" t="s">
        <v>35</v>
      </c>
      <c r="C47">
        <v>510</v>
      </c>
      <c r="D47" t="s">
        <v>10</v>
      </c>
      <c r="E47" s="1">
        <v>1</v>
      </c>
      <c r="F47" s="2" t="s">
        <v>12</v>
      </c>
      <c r="G47" s="2">
        <v>0</v>
      </c>
      <c r="H47" s="2">
        <f t="shared" si="0"/>
        <v>0</v>
      </c>
      <c r="I47" s="2">
        <v>0</v>
      </c>
      <c r="J47" s="2">
        <f t="shared" si="1"/>
        <v>0</v>
      </c>
      <c r="K47" s="1" t="s">
        <v>15</v>
      </c>
      <c r="L47">
        <v>22</v>
      </c>
      <c r="M47">
        <v>16</v>
      </c>
      <c r="N47">
        <v>259.39999999999998</v>
      </c>
      <c r="O47">
        <v>16.2</v>
      </c>
      <c r="P47">
        <f t="shared" si="2"/>
        <v>352</v>
      </c>
      <c r="Q47">
        <v>1129.7</v>
      </c>
      <c r="R47">
        <v>148.4</v>
      </c>
      <c r="S47">
        <f t="shared" si="3"/>
        <v>1278.1000000000001</v>
      </c>
      <c r="T47">
        <v>12</v>
      </c>
      <c r="U47" s="3">
        <f t="shared" si="4"/>
        <v>6851.751992790867</v>
      </c>
      <c r="V47" s="3">
        <f t="shared" si="5"/>
        <v>191.0327347161552</v>
      </c>
    </row>
    <row r="48" spans="1:22" x14ac:dyDescent="0.3">
      <c r="A48">
        <v>2024</v>
      </c>
      <c r="B48" t="s">
        <v>35</v>
      </c>
      <c r="C48">
        <v>510</v>
      </c>
      <c r="D48" t="s">
        <v>10</v>
      </c>
      <c r="E48" s="1">
        <v>1</v>
      </c>
      <c r="F48" s="2" t="s">
        <v>12</v>
      </c>
      <c r="G48" s="2">
        <v>0</v>
      </c>
      <c r="H48" s="2">
        <f t="shared" si="0"/>
        <v>0</v>
      </c>
      <c r="I48" s="2">
        <v>0</v>
      </c>
      <c r="J48" s="2">
        <f t="shared" si="1"/>
        <v>0</v>
      </c>
      <c r="K48" s="1" t="s">
        <v>15</v>
      </c>
      <c r="L48">
        <v>13</v>
      </c>
      <c r="M48">
        <v>15</v>
      </c>
      <c r="N48">
        <v>259.39999999999998</v>
      </c>
      <c r="O48">
        <v>16.2</v>
      </c>
      <c r="P48">
        <f t="shared" si="2"/>
        <v>195</v>
      </c>
      <c r="Q48">
        <v>1129.7</v>
      </c>
      <c r="R48">
        <v>148.4</v>
      </c>
      <c r="S48">
        <f t="shared" si="3"/>
        <v>1278.1000000000001</v>
      </c>
      <c r="T48">
        <v>12</v>
      </c>
      <c r="U48" s="3">
        <f t="shared" si="4"/>
        <v>6851.751992790867</v>
      </c>
      <c r="V48" s="3">
        <f t="shared" si="5"/>
        <v>191.0327347161552</v>
      </c>
    </row>
    <row r="49" spans="1:22" x14ac:dyDescent="0.3">
      <c r="A49">
        <v>2024</v>
      </c>
      <c r="B49" t="s">
        <v>35</v>
      </c>
      <c r="C49">
        <v>510</v>
      </c>
      <c r="D49" t="s">
        <v>10</v>
      </c>
      <c r="E49" s="1">
        <v>1</v>
      </c>
      <c r="F49" s="2" t="s">
        <v>12</v>
      </c>
      <c r="G49" s="2">
        <v>0</v>
      </c>
      <c r="H49" s="2">
        <f t="shared" si="0"/>
        <v>0</v>
      </c>
      <c r="I49" s="2">
        <v>0</v>
      </c>
      <c r="J49" s="2">
        <f t="shared" si="1"/>
        <v>0</v>
      </c>
      <c r="K49" s="1" t="s">
        <v>15</v>
      </c>
      <c r="L49">
        <v>23</v>
      </c>
      <c r="M49">
        <v>20</v>
      </c>
      <c r="N49">
        <v>259.39999999999998</v>
      </c>
      <c r="O49">
        <v>16.2</v>
      </c>
      <c r="P49">
        <f t="shared" si="2"/>
        <v>460</v>
      </c>
      <c r="Q49">
        <v>1129.7</v>
      </c>
      <c r="R49">
        <v>148.4</v>
      </c>
      <c r="S49">
        <f t="shared" si="3"/>
        <v>1278.1000000000001</v>
      </c>
      <c r="T49">
        <v>12</v>
      </c>
      <c r="U49" s="3">
        <f t="shared" si="4"/>
        <v>6851.751992790867</v>
      </c>
      <c r="V49" s="3">
        <f t="shared" si="5"/>
        <v>191.0327347161552</v>
      </c>
    </row>
    <row r="50" spans="1:22" x14ac:dyDescent="0.3">
      <c r="A50">
        <v>2024</v>
      </c>
      <c r="B50" t="s">
        <v>35</v>
      </c>
      <c r="C50">
        <v>511</v>
      </c>
      <c r="D50" t="s">
        <v>10</v>
      </c>
      <c r="E50" s="1">
        <v>1</v>
      </c>
      <c r="F50" s="2" t="s">
        <v>12</v>
      </c>
      <c r="G50" s="2" t="s">
        <v>13</v>
      </c>
      <c r="H50" s="2">
        <f t="shared" si="0"/>
        <v>100</v>
      </c>
      <c r="I50" s="2">
        <v>122.5</v>
      </c>
      <c r="J50" s="2">
        <f t="shared" si="1"/>
        <v>222.5</v>
      </c>
      <c r="K50" s="1" t="s">
        <v>15</v>
      </c>
      <c r="L50">
        <v>43</v>
      </c>
      <c r="M50">
        <v>16</v>
      </c>
      <c r="N50">
        <v>297.8</v>
      </c>
      <c r="O50">
        <v>14.7</v>
      </c>
      <c r="P50">
        <f t="shared" si="2"/>
        <v>688</v>
      </c>
      <c r="Q50">
        <v>1973.7</v>
      </c>
      <c r="R50">
        <v>192.4</v>
      </c>
      <c r="S50">
        <f t="shared" si="3"/>
        <v>2166.1</v>
      </c>
      <c r="T50">
        <v>12</v>
      </c>
      <c r="U50" s="3">
        <f t="shared" si="4"/>
        <v>13192.203041827102</v>
      </c>
      <c r="V50" s="3">
        <f t="shared" si="5"/>
        <v>367.80995965157575</v>
      </c>
    </row>
    <row r="51" spans="1:22" x14ac:dyDescent="0.3">
      <c r="A51">
        <v>2024</v>
      </c>
      <c r="B51" t="s">
        <v>35</v>
      </c>
      <c r="C51">
        <v>511</v>
      </c>
      <c r="D51" t="s">
        <v>10</v>
      </c>
      <c r="E51" s="1">
        <v>1</v>
      </c>
      <c r="F51" s="2" t="s">
        <v>12</v>
      </c>
      <c r="G51" s="2" t="s">
        <v>13</v>
      </c>
      <c r="H51" s="2">
        <f t="shared" si="0"/>
        <v>100</v>
      </c>
      <c r="I51" s="2">
        <v>122.5</v>
      </c>
      <c r="J51" s="2">
        <f t="shared" si="1"/>
        <v>222.5</v>
      </c>
      <c r="K51" s="1" t="s">
        <v>15</v>
      </c>
      <c r="L51">
        <v>32</v>
      </c>
      <c r="M51">
        <v>16</v>
      </c>
      <c r="N51">
        <v>297.8</v>
      </c>
      <c r="O51">
        <v>14.7</v>
      </c>
      <c r="P51">
        <f t="shared" si="2"/>
        <v>512</v>
      </c>
      <c r="Q51">
        <v>1973.7</v>
      </c>
      <c r="R51">
        <v>192.4</v>
      </c>
      <c r="S51">
        <f t="shared" si="3"/>
        <v>2166.1</v>
      </c>
      <c r="T51">
        <v>12</v>
      </c>
      <c r="U51" s="3">
        <f t="shared" si="4"/>
        <v>13192.203041827102</v>
      </c>
      <c r="V51" s="3">
        <f t="shared" si="5"/>
        <v>367.80995965157575</v>
      </c>
    </row>
    <row r="52" spans="1:22" x14ac:dyDescent="0.3">
      <c r="A52">
        <v>2024</v>
      </c>
      <c r="B52" t="s">
        <v>35</v>
      </c>
      <c r="C52">
        <v>511</v>
      </c>
      <c r="D52" t="s">
        <v>10</v>
      </c>
      <c r="E52" s="1">
        <v>1</v>
      </c>
      <c r="F52" s="2" t="s">
        <v>12</v>
      </c>
      <c r="G52" s="2" t="s">
        <v>13</v>
      </c>
      <c r="H52" s="2">
        <f t="shared" si="0"/>
        <v>100</v>
      </c>
      <c r="I52" s="2">
        <v>122.5</v>
      </c>
      <c r="J52" s="2">
        <f t="shared" si="1"/>
        <v>222.5</v>
      </c>
      <c r="K52" s="1" t="s">
        <v>15</v>
      </c>
      <c r="L52">
        <v>36</v>
      </c>
      <c r="M52">
        <v>18</v>
      </c>
      <c r="N52">
        <v>297.8</v>
      </c>
      <c r="O52">
        <v>14.7</v>
      </c>
      <c r="P52">
        <f t="shared" si="2"/>
        <v>648</v>
      </c>
      <c r="Q52">
        <v>1973.7</v>
      </c>
      <c r="R52">
        <v>192.4</v>
      </c>
      <c r="S52">
        <f t="shared" si="3"/>
        <v>2166.1</v>
      </c>
      <c r="T52">
        <v>12</v>
      </c>
      <c r="U52" s="3">
        <f t="shared" si="4"/>
        <v>13192.203041827102</v>
      </c>
      <c r="V52" s="3">
        <f t="shared" si="5"/>
        <v>367.80995965157575</v>
      </c>
    </row>
    <row r="53" spans="1:22" x14ac:dyDescent="0.3">
      <c r="A53">
        <v>2024</v>
      </c>
      <c r="B53" t="s">
        <v>35</v>
      </c>
      <c r="C53">
        <v>511</v>
      </c>
      <c r="D53" t="s">
        <v>10</v>
      </c>
      <c r="E53" s="1">
        <v>1</v>
      </c>
      <c r="F53" s="2" t="s">
        <v>12</v>
      </c>
      <c r="G53" s="2" t="s">
        <v>13</v>
      </c>
      <c r="H53" s="2">
        <f t="shared" si="0"/>
        <v>100</v>
      </c>
      <c r="I53" s="2">
        <v>122.5</v>
      </c>
      <c r="J53" s="2">
        <f t="shared" si="1"/>
        <v>222.5</v>
      </c>
      <c r="K53" s="1" t="s">
        <v>15</v>
      </c>
      <c r="L53">
        <v>20</v>
      </c>
      <c r="M53">
        <v>18</v>
      </c>
      <c r="N53">
        <v>297.8</v>
      </c>
      <c r="O53">
        <v>14.7</v>
      </c>
      <c r="P53">
        <f t="shared" si="2"/>
        <v>360</v>
      </c>
      <c r="Q53">
        <v>1973.7</v>
      </c>
      <c r="R53">
        <v>192.4</v>
      </c>
      <c r="S53">
        <f t="shared" si="3"/>
        <v>2166.1</v>
      </c>
      <c r="T53">
        <v>12</v>
      </c>
      <c r="U53" s="3">
        <f t="shared" si="4"/>
        <v>13192.203041827102</v>
      </c>
      <c r="V53" s="3">
        <f t="shared" si="5"/>
        <v>367.80995965157575</v>
      </c>
    </row>
    <row r="54" spans="1:22" x14ac:dyDescent="0.3">
      <c r="A54">
        <v>2024</v>
      </c>
      <c r="B54" t="s">
        <v>35</v>
      </c>
      <c r="C54">
        <v>511</v>
      </c>
      <c r="D54" t="s">
        <v>10</v>
      </c>
      <c r="E54" s="1">
        <v>1</v>
      </c>
      <c r="F54" s="2" t="s">
        <v>12</v>
      </c>
      <c r="G54" s="2" t="s">
        <v>13</v>
      </c>
      <c r="H54" s="2">
        <f t="shared" si="0"/>
        <v>100</v>
      </c>
      <c r="I54" s="2">
        <v>122.5</v>
      </c>
      <c r="J54" s="2">
        <f t="shared" si="1"/>
        <v>222.5</v>
      </c>
      <c r="K54" s="1" t="s">
        <v>15</v>
      </c>
      <c r="L54">
        <v>27</v>
      </c>
      <c r="M54">
        <v>15</v>
      </c>
      <c r="N54">
        <v>297.8</v>
      </c>
      <c r="O54">
        <v>14.7</v>
      </c>
      <c r="P54">
        <f t="shared" si="2"/>
        <v>405</v>
      </c>
      <c r="Q54">
        <v>1973.7</v>
      </c>
      <c r="R54">
        <v>192.4</v>
      </c>
      <c r="S54">
        <f t="shared" si="3"/>
        <v>2166.1</v>
      </c>
      <c r="T54">
        <v>12</v>
      </c>
      <c r="U54" s="3">
        <f t="shared" si="4"/>
        <v>13192.203041827102</v>
      </c>
      <c r="V54" s="3">
        <f t="shared" si="5"/>
        <v>367.80995965157575</v>
      </c>
    </row>
    <row r="55" spans="1:22" x14ac:dyDescent="0.3">
      <c r="A55">
        <v>2024</v>
      </c>
      <c r="B55" t="s">
        <v>35</v>
      </c>
      <c r="C55">
        <v>511</v>
      </c>
      <c r="D55" t="s">
        <v>10</v>
      </c>
      <c r="E55" s="1">
        <v>1</v>
      </c>
      <c r="F55" s="2" t="s">
        <v>12</v>
      </c>
      <c r="G55" s="2" t="s">
        <v>13</v>
      </c>
      <c r="H55" s="2">
        <f t="shared" si="0"/>
        <v>100</v>
      </c>
      <c r="I55" s="2">
        <v>122.5</v>
      </c>
      <c r="J55" s="2">
        <f t="shared" si="1"/>
        <v>222.5</v>
      </c>
      <c r="K55" s="1" t="s">
        <v>15</v>
      </c>
      <c r="L55">
        <v>29</v>
      </c>
      <c r="M55">
        <v>18</v>
      </c>
      <c r="N55">
        <v>297.8</v>
      </c>
      <c r="O55">
        <v>14.7</v>
      </c>
      <c r="P55">
        <f t="shared" si="2"/>
        <v>522</v>
      </c>
      <c r="Q55">
        <v>1973.7</v>
      </c>
      <c r="R55">
        <v>192.4</v>
      </c>
      <c r="S55">
        <f t="shared" si="3"/>
        <v>2166.1</v>
      </c>
      <c r="T55">
        <v>12</v>
      </c>
      <c r="U55" s="3">
        <f t="shared" si="4"/>
        <v>13192.203041827102</v>
      </c>
      <c r="V55" s="3">
        <f t="shared" si="5"/>
        <v>367.80995965157575</v>
      </c>
    </row>
    <row r="56" spans="1:22" x14ac:dyDescent="0.3">
      <c r="A56">
        <v>2024</v>
      </c>
      <c r="B56" t="s">
        <v>35</v>
      </c>
      <c r="C56">
        <v>511</v>
      </c>
      <c r="D56" t="s">
        <v>10</v>
      </c>
      <c r="E56" s="1">
        <v>1</v>
      </c>
      <c r="F56" s="2" t="s">
        <v>12</v>
      </c>
      <c r="G56" s="2" t="s">
        <v>13</v>
      </c>
      <c r="H56" s="2">
        <f t="shared" si="0"/>
        <v>100</v>
      </c>
      <c r="I56" s="2">
        <v>122.5</v>
      </c>
      <c r="J56" s="2">
        <f t="shared" si="1"/>
        <v>222.5</v>
      </c>
      <c r="K56" s="1" t="s">
        <v>15</v>
      </c>
      <c r="L56">
        <v>32</v>
      </c>
      <c r="M56">
        <v>20</v>
      </c>
      <c r="N56">
        <v>297.8</v>
      </c>
      <c r="O56">
        <v>14.7</v>
      </c>
      <c r="P56">
        <f t="shared" si="2"/>
        <v>640</v>
      </c>
      <c r="Q56">
        <v>1973.7</v>
      </c>
      <c r="R56">
        <v>192.4</v>
      </c>
      <c r="S56">
        <f t="shared" si="3"/>
        <v>2166.1</v>
      </c>
      <c r="T56">
        <v>12</v>
      </c>
      <c r="U56" s="3">
        <f t="shared" si="4"/>
        <v>13192.203041827102</v>
      </c>
      <c r="V56" s="3">
        <f t="shared" si="5"/>
        <v>367.80995965157575</v>
      </c>
    </row>
    <row r="57" spans="1:22" x14ac:dyDescent="0.3">
      <c r="A57">
        <v>2024</v>
      </c>
      <c r="B57" t="s">
        <v>35</v>
      </c>
      <c r="C57">
        <v>511</v>
      </c>
      <c r="D57" t="s">
        <v>10</v>
      </c>
      <c r="E57" s="1">
        <v>1</v>
      </c>
      <c r="F57" s="2" t="s">
        <v>12</v>
      </c>
      <c r="G57" s="2" t="s">
        <v>13</v>
      </c>
      <c r="H57" s="2">
        <f t="shared" si="0"/>
        <v>100</v>
      </c>
      <c r="I57" s="2">
        <v>122.5</v>
      </c>
      <c r="J57" s="2">
        <f t="shared" si="1"/>
        <v>222.5</v>
      </c>
      <c r="K57" s="1" t="s">
        <v>15</v>
      </c>
      <c r="L57">
        <v>40</v>
      </c>
      <c r="M57">
        <v>16</v>
      </c>
      <c r="N57">
        <v>297.8</v>
      </c>
      <c r="O57">
        <v>14.7</v>
      </c>
      <c r="P57">
        <f t="shared" si="2"/>
        <v>640</v>
      </c>
      <c r="Q57">
        <v>1973.7</v>
      </c>
      <c r="R57">
        <v>192.4</v>
      </c>
      <c r="S57">
        <f t="shared" si="3"/>
        <v>2166.1</v>
      </c>
      <c r="T57">
        <v>12</v>
      </c>
      <c r="U57" s="3">
        <f t="shared" si="4"/>
        <v>13192.203041827102</v>
      </c>
      <c r="V57" s="3">
        <f t="shared" si="5"/>
        <v>367.80995965157575</v>
      </c>
    </row>
    <row r="58" spans="1:22" x14ac:dyDescent="0.3">
      <c r="A58">
        <v>2024</v>
      </c>
      <c r="B58" t="s">
        <v>35</v>
      </c>
      <c r="C58">
        <v>511</v>
      </c>
      <c r="D58" t="s">
        <v>10</v>
      </c>
      <c r="E58" s="1">
        <v>1</v>
      </c>
      <c r="F58" s="2" t="s">
        <v>12</v>
      </c>
      <c r="G58" s="2" t="s">
        <v>13</v>
      </c>
      <c r="H58" s="2">
        <f t="shared" si="0"/>
        <v>100</v>
      </c>
      <c r="I58" s="2">
        <v>122.5</v>
      </c>
      <c r="J58" s="2">
        <f t="shared" si="1"/>
        <v>222.5</v>
      </c>
      <c r="K58" s="1" t="s">
        <v>15</v>
      </c>
      <c r="L58">
        <v>27</v>
      </c>
      <c r="M58">
        <v>16</v>
      </c>
      <c r="N58">
        <v>297.8</v>
      </c>
      <c r="O58">
        <v>14.7</v>
      </c>
      <c r="P58">
        <f t="shared" si="2"/>
        <v>432</v>
      </c>
      <c r="Q58">
        <v>1973.7</v>
      </c>
      <c r="R58">
        <v>192.4</v>
      </c>
      <c r="S58">
        <f t="shared" si="3"/>
        <v>2166.1</v>
      </c>
      <c r="T58">
        <v>12</v>
      </c>
      <c r="U58" s="3">
        <f t="shared" si="4"/>
        <v>13192.203041827102</v>
      </c>
      <c r="V58" s="3">
        <f t="shared" si="5"/>
        <v>367.80995965157575</v>
      </c>
    </row>
    <row r="59" spans="1:22" x14ac:dyDescent="0.3">
      <c r="A59">
        <v>2024</v>
      </c>
      <c r="B59" t="s">
        <v>35</v>
      </c>
      <c r="C59">
        <v>511</v>
      </c>
      <c r="D59" t="s">
        <v>10</v>
      </c>
      <c r="E59" s="1">
        <v>1</v>
      </c>
      <c r="F59" s="2" t="s">
        <v>12</v>
      </c>
      <c r="G59" s="2" t="s">
        <v>13</v>
      </c>
      <c r="H59" s="2">
        <f t="shared" si="0"/>
        <v>100</v>
      </c>
      <c r="I59" s="2">
        <v>122.5</v>
      </c>
      <c r="J59" s="2">
        <f t="shared" si="1"/>
        <v>222.5</v>
      </c>
      <c r="K59" s="1" t="s">
        <v>15</v>
      </c>
      <c r="L59">
        <v>32</v>
      </c>
      <c r="M59">
        <v>18</v>
      </c>
      <c r="N59">
        <v>297.8</v>
      </c>
      <c r="O59">
        <v>14.7</v>
      </c>
      <c r="P59">
        <f t="shared" si="2"/>
        <v>576</v>
      </c>
      <c r="Q59">
        <v>1973.7</v>
      </c>
      <c r="R59">
        <v>192.4</v>
      </c>
      <c r="S59">
        <f t="shared" si="3"/>
        <v>2166.1</v>
      </c>
      <c r="T59">
        <v>12</v>
      </c>
      <c r="U59" s="3">
        <f t="shared" si="4"/>
        <v>13192.203041827102</v>
      </c>
      <c r="V59" s="3">
        <f t="shared" si="5"/>
        <v>367.80995965157575</v>
      </c>
    </row>
    <row r="60" spans="1:22" x14ac:dyDescent="0.3">
      <c r="A60">
        <v>2024</v>
      </c>
      <c r="B60" t="s">
        <v>35</v>
      </c>
      <c r="C60">
        <v>511</v>
      </c>
      <c r="D60" t="s">
        <v>10</v>
      </c>
      <c r="E60" s="1">
        <v>1</v>
      </c>
      <c r="F60" s="2" t="s">
        <v>12</v>
      </c>
      <c r="G60" s="2" t="s">
        <v>13</v>
      </c>
      <c r="H60" s="2">
        <f t="shared" si="0"/>
        <v>100</v>
      </c>
      <c r="I60" s="2">
        <v>122.5</v>
      </c>
      <c r="J60" s="2">
        <f t="shared" si="1"/>
        <v>222.5</v>
      </c>
      <c r="K60" s="1" t="s">
        <v>15</v>
      </c>
      <c r="L60">
        <v>35</v>
      </c>
      <c r="M60">
        <v>16</v>
      </c>
      <c r="N60">
        <v>297.8</v>
      </c>
      <c r="O60">
        <v>14.7</v>
      </c>
      <c r="P60">
        <f t="shared" si="2"/>
        <v>560</v>
      </c>
      <c r="Q60">
        <v>1973.7</v>
      </c>
      <c r="R60">
        <v>192.4</v>
      </c>
      <c r="S60">
        <f t="shared" si="3"/>
        <v>2166.1</v>
      </c>
      <c r="T60">
        <v>12</v>
      </c>
      <c r="U60" s="3">
        <f t="shared" si="4"/>
        <v>13192.203041827102</v>
      </c>
      <c r="V60" s="3">
        <f t="shared" si="5"/>
        <v>367.80995965157575</v>
      </c>
    </row>
    <row r="61" spans="1:22" x14ac:dyDescent="0.3">
      <c r="A61">
        <v>2024</v>
      </c>
      <c r="B61" t="s">
        <v>35</v>
      </c>
      <c r="C61">
        <v>511</v>
      </c>
      <c r="D61" t="s">
        <v>10</v>
      </c>
      <c r="E61" s="1">
        <v>1</v>
      </c>
      <c r="F61" s="2" t="s">
        <v>12</v>
      </c>
      <c r="G61" s="2" t="s">
        <v>13</v>
      </c>
      <c r="H61" s="2">
        <f t="shared" si="0"/>
        <v>100</v>
      </c>
      <c r="I61" s="2">
        <v>122.5</v>
      </c>
      <c r="J61" s="2">
        <f t="shared" si="1"/>
        <v>222.5</v>
      </c>
      <c r="K61" s="1" t="s">
        <v>15</v>
      </c>
      <c r="L61">
        <v>38</v>
      </c>
      <c r="M61">
        <v>18</v>
      </c>
      <c r="N61">
        <v>297.8</v>
      </c>
      <c r="O61">
        <v>14.7</v>
      </c>
      <c r="P61">
        <f t="shared" si="2"/>
        <v>684</v>
      </c>
      <c r="Q61">
        <v>1973.7</v>
      </c>
      <c r="R61">
        <v>192.4</v>
      </c>
      <c r="S61">
        <f t="shared" si="3"/>
        <v>2166.1</v>
      </c>
      <c r="T61">
        <v>12</v>
      </c>
      <c r="U61" s="3">
        <f t="shared" si="4"/>
        <v>13192.203041827102</v>
      </c>
      <c r="V61" s="3">
        <f t="shared" si="5"/>
        <v>367.80995965157575</v>
      </c>
    </row>
    <row r="62" spans="1:22" x14ac:dyDescent="0.3">
      <c r="A62">
        <v>2024</v>
      </c>
      <c r="B62" t="s">
        <v>35</v>
      </c>
      <c r="C62">
        <v>512</v>
      </c>
      <c r="D62" t="s">
        <v>10</v>
      </c>
      <c r="E62" s="1">
        <v>1</v>
      </c>
      <c r="F62" s="2" t="s">
        <v>12</v>
      </c>
      <c r="G62" s="2" t="s">
        <v>14</v>
      </c>
      <c r="H62" s="2">
        <f t="shared" si="0"/>
        <v>100</v>
      </c>
      <c r="I62" s="2">
        <v>236</v>
      </c>
      <c r="J62" s="2">
        <f t="shared" si="1"/>
        <v>336</v>
      </c>
      <c r="K62" s="1" t="s">
        <v>15</v>
      </c>
      <c r="L62">
        <v>40</v>
      </c>
      <c r="M62">
        <v>16</v>
      </c>
      <c r="N62">
        <v>302.10000000000002</v>
      </c>
      <c r="O62">
        <v>16.3</v>
      </c>
      <c r="P62">
        <f t="shared" si="2"/>
        <v>640</v>
      </c>
      <c r="Q62">
        <v>1619.2</v>
      </c>
      <c r="R62">
        <v>159.30000000000001</v>
      </c>
      <c r="S62">
        <f t="shared" si="3"/>
        <v>1778.5</v>
      </c>
      <c r="T62">
        <v>12</v>
      </c>
      <c r="U62" s="3">
        <f t="shared" si="4"/>
        <v>9760.3729201670267</v>
      </c>
      <c r="V62" s="3">
        <f t="shared" si="5"/>
        <v>272.12758616348293</v>
      </c>
    </row>
    <row r="63" spans="1:22" x14ac:dyDescent="0.3">
      <c r="A63">
        <v>2024</v>
      </c>
      <c r="B63" t="s">
        <v>35</v>
      </c>
      <c r="C63">
        <v>512</v>
      </c>
      <c r="D63" t="s">
        <v>10</v>
      </c>
      <c r="E63" s="1">
        <v>1</v>
      </c>
      <c r="F63" s="2" t="s">
        <v>12</v>
      </c>
      <c r="G63" s="2" t="s">
        <v>14</v>
      </c>
      <c r="H63" s="2">
        <f t="shared" si="0"/>
        <v>100</v>
      </c>
      <c r="I63" s="2">
        <v>236</v>
      </c>
      <c r="J63" s="2">
        <f t="shared" si="1"/>
        <v>336</v>
      </c>
      <c r="K63" s="1" t="s">
        <v>16</v>
      </c>
      <c r="L63">
        <v>38</v>
      </c>
      <c r="M63">
        <v>16</v>
      </c>
      <c r="N63">
        <v>302.10000000000002</v>
      </c>
      <c r="O63">
        <v>16.3</v>
      </c>
      <c r="P63">
        <f t="shared" si="2"/>
        <v>608</v>
      </c>
      <c r="Q63">
        <v>1619.2</v>
      </c>
      <c r="R63">
        <v>159.30000000000001</v>
      </c>
      <c r="S63">
        <f t="shared" si="3"/>
        <v>1778.5</v>
      </c>
      <c r="T63">
        <v>12</v>
      </c>
      <c r="U63" s="3">
        <f t="shared" si="4"/>
        <v>9760.3729201670267</v>
      </c>
      <c r="V63" s="3">
        <f t="shared" si="5"/>
        <v>272.12758616348293</v>
      </c>
    </row>
    <row r="64" spans="1:22" x14ac:dyDescent="0.3">
      <c r="A64">
        <v>2024</v>
      </c>
      <c r="B64" t="s">
        <v>35</v>
      </c>
      <c r="C64">
        <v>512</v>
      </c>
      <c r="D64" t="s">
        <v>10</v>
      </c>
      <c r="E64" s="1">
        <v>1</v>
      </c>
      <c r="F64" s="2" t="s">
        <v>12</v>
      </c>
      <c r="G64" s="2" t="s">
        <v>14</v>
      </c>
      <c r="H64" s="2">
        <f t="shared" si="0"/>
        <v>100</v>
      </c>
      <c r="I64" s="2">
        <v>236</v>
      </c>
      <c r="J64" s="2">
        <f t="shared" si="1"/>
        <v>336</v>
      </c>
      <c r="K64" s="1" t="s">
        <v>17</v>
      </c>
      <c r="L64">
        <v>29</v>
      </c>
      <c r="M64">
        <v>20</v>
      </c>
      <c r="N64">
        <v>302.10000000000002</v>
      </c>
      <c r="O64">
        <v>16.3</v>
      </c>
      <c r="P64">
        <f t="shared" si="2"/>
        <v>580</v>
      </c>
      <c r="Q64">
        <v>1619.2</v>
      </c>
      <c r="R64">
        <v>159.30000000000001</v>
      </c>
      <c r="S64">
        <f t="shared" si="3"/>
        <v>1778.5</v>
      </c>
      <c r="T64">
        <v>12</v>
      </c>
      <c r="U64" s="3">
        <f t="shared" si="4"/>
        <v>9760.3729201670267</v>
      </c>
      <c r="V64" s="3">
        <f t="shared" si="5"/>
        <v>272.12758616348293</v>
      </c>
    </row>
    <row r="65" spans="1:22" x14ac:dyDescent="0.3">
      <c r="A65">
        <v>2024</v>
      </c>
      <c r="B65" t="s">
        <v>35</v>
      </c>
      <c r="C65">
        <v>512</v>
      </c>
      <c r="D65" t="s">
        <v>10</v>
      </c>
      <c r="E65" s="1">
        <v>1</v>
      </c>
      <c r="F65" s="2" t="s">
        <v>12</v>
      </c>
      <c r="G65" s="2" t="s">
        <v>14</v>
      </c>
      <c r="H65" s="2">
        <f t="shared" si="0"/>
        <v>100</v>
      </c>
      <c r="I65" s="2">
        <v>236</v>
      </c>
      <c r="J65" s="2">
        <f t="shared" si="1"/>
        <v>336</v>
      </c>
      <c r="K65" s="1" t="s">
        <v>18</v>
      </c>
      <c r="L65">
        <v>26</v>
      </c>
      <c r="M65">
        <v>20</v>
      </c>
      <c r="N65">
        <v>302.10000000000002</v>
      </c>
      <c r="O65">
        <v>16.3</v>
      </c>
      <c r="P65">
        <f t="shared" si="2"/>
        <v>520</v>
      </c>
      <c r="Q65">
        <v>1619.2</v>
      </c>
      <c r="R65">
        <v>159.30000000000001</v>
      </c>
      <c r="S65">
        <f t="shared" si="3"/>
        <v>1778.5</v>
      </c>
      <c r="T65">
        <v>12</v>
      </c>
      <c r="U65" s="3">
        <f t="shared" si="4"/>
        <v>9760.3729201670267</v>
      </c>
      <c r="V65" s="3">
        <f t="shared" si="5"/>
        <v>272.12758616348293</v>
      </c>
    </row>
    <row r="66" spans="1:22" x14ac:dyDescent="0.3">
      <c r="A66">
        <v>2024</v>
      </c>
      <c r="B66" t="s">
        <v>35</v>
      </c>
      <c r="C66">
        <v>512</v>
      </c>
      <c r="D66" t="s">
        <v>10</v>
      </c>
      <c r="E66" s="1">
        <v>1</v>
      </c>
      <c r="F66" s="2" t="s">
        <v>12</v>
      </c>
      <c r="G66" s="2" t="s">
        <v>14</v>
      </c>
      <c r="H66" s="2">
        <f t="shared" si="0"/>
        <v>100</v>
      </c>
      <c r="I66" s="2">
        <v>236</v>
      </c>
      <c r="J66" s="2">
        <f t="shared" si="1"/>
        <v>336</v>
      </c>
      <c r="K66" s="1" t="s">
        <v>19</v>
      </c>
      <c r="L66">
        <v>28</v>
      </c>
      <c r="M66">
        <v>15</v>
      </c>
      <c r="N66">
        <v>302.10000000000002</v>
      </c>
      <c r="O66">
        <v>16.3</v>
      </c>
      <c r="P66">
        <f t="shared" si="2"/>
        <v>420</v>
      </c>
      <c r="Q66">
        <v>1619.2</v>
      </c>
      <c r="R66">
        <v>159.30000000000001</v>
      </c>
      <c r="S66">
        <f t="shared" si="3"/>
        <v>1778.5</v>
      </c>
      <c r="T66">
        <v>12</v>
      </c>
      <c r="U66" s="3">
        <f t="shared" si="4"/>
        <v>9760.3729201670267</v>
      </c>
      <c r="V66" s="3">
        <f t="shared" si="5"/>
        <v>272.12758616348293</v>
      </c>
    </row>
    <row r="67" spans="1:22" x14ac:dyDescent="0.3">
      <c r="A67">
        <v>2024</v>
      </c>
      <c r="B67" t="s">
        <v>35</v>
      </c>
      <c r="C67">
        <v>512</v>
      </c>
      <c r="D67" t="s">
        <v>10</v>
      </c>
      <c r="E67" s="1">
        <v>1</v>
      </c>
      <c r="F67" s="2" t="s">
        <v>12</v>
      </c>
      <c r="G67" s="2" t="s">
        <v>14</v>
      </c>
      <c r="H67" s="2">
        <f t="shared" ref="H67:H130" si="6">IF(OR(G67="VRN", G67="CFP"), 100, 0)</f>
        <v>100</v>
      </c>
      <c r="I67" s="2">
        <v>236</v>
      </c>
      <c r="J67" s="2">
        <f t="shared" ref="J67:J130" si="7">H67+I67</f>
        <v>336</v>
      </c>
      <c r="K67" s="1" t="s">
        <v>20</v>
      </c>
      <c r="L67">
        <v>34</v>
      </c>
      <c r="M67">
        <v>16</v>
      </c>
      <c r="N67">
        <v>302.10000000000002</v>
      </c>
      <c r="O67">
        <v>16.3</v>
      </c>
      <c r="P67">
        <f t="shared" ref="P67:P130" si="8">L67*M67</f>
        <v>544</v>
      </c>
      <c r="Q67">
        <v>1619.2</v>
      </c>
      <c r="R67">
        <v>159.30000000000001</v>
      </c>
      <c r="S67">
        <f t="shared" ref="S67:S130" si="9">Q67+R67</f>
        <v>1778.5</v>
      </c>
      <c r="T67">
        <v>12</v>
      </c>
      <c r="U67" s="3">
        <f t="shared" ref="U67:U130" si="10">((((Q67/1000)*10000)/1.577532)*15.5)/O67</f>
        <v>9760.3729201670267</v>
      </c>
      <c r="V67" s="3">
        <f t="shared" ref="V67:V130" si="11">U67/35.8669</f>
        <v>272.12758616348293</v>
      </c>
    </row>
    <row r="68" spans="1:22" x14ac:dyDescent="0.3">
      <c r="A68">
        <v>2024</v>
      </c>
      <c r="B68" t="s">
        <v>35</v>
      </c>
      <c r="C68">
        <v>512</v>
      </c>
      <c r="D68" t="s">
        <v>10</v>
      </c>
      <c r="E68" s="1">
        <v>1</v>
      </c>
      <c r="F68" s="2" t="s">
        <v>12</v>
      </c>
      <c r="G68" s="2" t="s">
        <v>14</v>
      </c>
      <c r="H68" s="2">
        <f t="shared" si="6"/>
        <v>100</v>
      </c>
      <c r="I68" s="2">
        <v>236</v>
      </c>
      <c r="J68" s="2">
        <f t="shared" si="7"/>
        <v>336</v>
      </c>
      <c r="K68" s="1" t="s">
        <v>21</v>
      </c>
      <c r="L68">
        <v>34</v>
      </c>
      <c r="M68">
        <v>16</v>
      </c>
      <c r="N68">
        <v>302.10000000000002</v>
      </c>
      <c r="O68">
        <v>16.3</v>
      </c>
      <c r="P68">
        <f t="shared" si="8"/>
        <v>544</v>
      </c>
      <c r="Q68">
        <v>1619.2</v>
      </c>
      <c r="R68">
        <v>159.30000000000001</v>
      </c>
      <c r="S68">
        <f t="shared" si="9"/>
        <v>1778.5</v>
      </c>
      <c r="T68">
        <v>12</v>
      </c>
      <c r="U68" s="3">
        <f t="shared" si="10"/>
        <v>9760.3729201670267</v>
      </c>
      <c r="V68" s="3">
        <f t="shared" si="11"/>
        <v>272.12758616348293</v>
      </c>
    </row>
    <row r="69" spans="1:22" x14ac:dyDescent="0.3">
      <c r="A69">
        <v>2024</v>
      </c>
      <c r="B69" t="s">
        <v>35</v>
      </c>
      <c r="C69">
        <v>512</v>
      </c>
      <c r="D69" t="s">
        <v>10</v>
      </c>
      <c r="E69" s="1">
        <v>1</v>
      </c>
      <c r="F69" s="2" t="s">
        <v>12</v>
      </c>
      <c r="G69" s="2" t="s">
        <v>14</v>
      </c>
      <c r="H69" s="2">
        <f t="shared" si="6"/>
        <v>100</v>
      </c>
      <c r="I69" s="2">
        <v>236</v>
      </c>
      <c r="J69" s="2">
        <f t="shared" si="7"/>
        <v>336</v>
      </c>
      <c r="K69" s="1" t="s">
        <v>22</v>
      </c>
      <c r="L69">
        <v>36</v>
      </c>
      <c r="M69">
        <v>14</v>
      </c>
      <c r="N69">
        <v>302.10000000000002</v>
      </c>
      <c r="O69">
        <v>16.3</v>
      </c>
      <c r="P69">
        <f t="shared" si="8"/>
        <v>504</v>
      </c>
      <c r="Q69">
        <v>1619.2</v>
      </c>
      <c r="R69">
        <v>159.30000000000001</v>
      </c>
      <c r="S69">
        <f t="shared" si="9"/>
        <v>1778.5</v>
      </c>
      <c r="T69">
        <v>12</v>
      </c>
      <c r="U69" s="3">
        <f t="shared" si="10"/>
        <v>9760.3729201670267</v>
      </c>
      <c r="V69" s="3">
        <f t="shared" si="11"/>
        <v>272.12758616348293</v>
      </c>
    </row>
    <row r="70" spans="1:22" x14ac:dyDescent="0.3">
      <c r="A70">
        <v>2024</v>
      </c>
      <c r="B70" t="s">
        <v>35</v>
      </c>
      <c r="C70">
        <v>512</v>
      </c>
      <c r="D70" t="s">
        <v>10</v>
      </c>
      <c r="E70" s="1">
        <v>1</v>
      </c>
      <c r="F70" s="2" t="s">
        <v>12</v>
      </c>
      <c r="G70" s="2" t="s">
        <v>14</v>
      </c>
      <c r="H70" s="2">
        <f t="shared" si="6"/>
        <v>100</v>
      </c>
      <c r="I70" s="2">
        <v>236</v>
      </c>
      <c r="J70" s="2">
        <f t="shared" si="7"/>
        <v>336</v>
      </c>
      <c r="K70" s="1" t="s">
        <v>23</v>
      </c>
      <c r="L70">
        <v>36</v>
      </c>
      <c r="M70">
        <v>18</v>
      </c>
      <c r="N70">
        <v>302.10000000000002</v>
      </c>
      <c r="O70">
        <v>16.3</v>
      </c>
      <c r="P70">
        <f t="shared" si="8"/>
        <v>648</v>
      </c>
      <c r="Q70">
        <v>1619.2</v>
      </c>
      <c r="R70">
        <v>159.30000000000001</v>
      </c>
      <c r="S70">
        <f t="shared" si="9"/>
        <v>1778.5</v>
      </c>
      <c r="T70">
        <v>12</v>
      </c>
      <c r="U70" s="3">
        <f t="shared" si="10"/>
        <v>9760.3729201670267</v>
      </c>
      <c r="V70" s="3">
        <f t="shared" si="11"/>
        <v>272.12758616348293</v>
      </c>
    </row>
    <row r="71" spans="1:22" x14ac:dyDescent="0.3">
      <c r="A71">
        <v>2024</v>
      </c>
      <c r="B71" t="s">
        <v>35</v>
      </c>
      <c r="C71">
        <v>512</v>
      </c>
      <c r="D71" t="s">
        <v>10</v>
      </c>
      <c r="E71" s="1">
        <v>1</v>
      </c>
      <c r="F71" s="2" t="s">
        <v>12</v>
      </c>
      <c r="G71" s="2" t="s">
        <v>14</v>
      </c>
      <c r="H71" s="2">
        <f t="shared" si="6"/>
        <v>100</v>
      </c>
      <c r="I71" s="2">
        <v>236</v>
      </c>
      <c r="J71" s="2">
        <f t="shared" si="7"/>
        <v>336</v>
      </c>
      <c r="K71" s="1" t="s">
        <v>24</v>
      </c>
      <c r="L71">
        <v>39</v>
      </c>
      <c r="M71">
        <v>16</v>
      </c>
      <c r="N71">
        <v>302.10000000000002</v>
      </c>
      <c r="O71">
        <v>16.3</v>
      </c>
      <c r="P71">
        <f t="shared" si="8"/>
        <v>624</v>
      </c>
      <c r="Q71">
        <v>1619.2</v>
      </c>
      <c r="R71">
        <v>159.30000000000001</v>
      </c>
      <c r="S71">
        <f t="shared" si="9"/>
        <v>1778.5</v>
      </c>
      <c r="T71">
        <v>12</v>
      </c>
      <c r="U71" s="3">
        <f t="shared" si="10"/>
        <v>9760.3729201670267</v>
      </c>
      <c r="V71" s="3">
        <f t="shared" si="11"/>
        <v>272.12758616348293</v>
      </c>
    </row>
    <row r="72" spans="1:22" x14ac:dyDescent="0.3">
      <c r="A72">
        <v>2024</v>
      </c>
      <c r="B72" t="s">
        <v>35</v>
      </c>
      <c r="C72">
        <v>525</v>
      </c>
      <c r="D72" t="s">
        <v>10</v>
      </c>
      <c r="E72" s="1">
        <v>2</v>
      </c>
      <c r="F72" s="2" t="s">
        <v>11</v>
      </c>
      <c r="G72" s="2" t="s">
        <v>14</v>
      </c>
      <c r="H72" s="2">
        <f t="shared" si="6"/>
        <v>100</v>
      </c>
      <c r="I72" s="2">
        <v>236</v>
      </c>
      <c r="J72" s="2">
        <f t="shared" si="7"/>
        <v>336</v>
      </c>
      <c r="K72" s="1" t="s">
        <v>15</v>
      </c>
      <c r="L72">
        <v>36</v>
      </c>
      <c r="M72">
        <v>16</v>
      </c>
      <c r="N72">
        <v>317.60000000000002</v>
      </c>
      <c r="O72">
        <v>20.100000000000001</v>
      </c>
      <c r="P72">
        <f t="shared" si="8"/>
        <v>576</v>
      </c>
      <c r="Q72">
        <v>2205.6999999999998</v>
      </c>
      <c r="R72">
        <v>209.2</v>
      </c>
      <c r="S72">
        <f t="shared" si="9"/>
        <v>2414.8999999999996</v>
      </c>
      <c r="T72">
        <v>13</v>
      </c>
      <c r="U72" s="3">
        <f t="shared" si="10"/>
        <v>10782.113677081559</v>
      </c>
      <c r="V72" s="3">
        <f t="shared" si="11"/>
        <v>300.61459666381984</v>
      </c>
    </row>
    <row r="73" spans="1:22" x14ac:dyDescent="0.3">
      <c r="A73">
        <v>2024</v>
      </c>
      <c r="B73" t="s">
        <v>35</v>
      </c>
      <c r="C73">
        <v>525</v>
      </c>
      <c r="D73" t="s">
        <v>10</v>
      </c>
      <c r="E73" s="1">
        <v>2</v>
      </c>
      <c r="F73" s="2" t="s">
        <v>11</v>
      </c>
      <c r="G73" s="2" t="s">
        <v>14</v>
      </c>
      <c r="H73" s="2">
        <f t="shared" si="6"/>
        <v>100</v>
      </c>
      <c r="I73" s="2">
        <v>236</v>
      </c>
      <c r="J73" s="2">
        <f t="shared" si="7"/>
        <v>336</v>
      </c>
      <c r="K73" s="1" t="s">
        <v>15</v>
      </c>
      <c r="L73">
        <v>34</v>
      </c>
      <c r="M73">
        <v>18</v>
      </c>
      <c r="N73">
        <v>317.60000000000002</v>
      </c>
      <c r="O73">
        <v>20.100000000000001</v>
      </c>
      <c r="P73">
        <f t="shared" si="8"/>
        <v>612</v>
      </c>
      <c r="Q73">
        <v>2205.6999999999998</v>
      </c>
      <c r="R73">
        <v>209.2</v>
      </c>
      <c r="S73">
        <f t="shared" si="9"/>
        <v>2414.8999999999996</v>
      </c>
      <c r="T73">
        <v>13</v>
      </c>
      <c r="U73" s="3">
        <f t="shared" si="10"/>
        <v>10782.113677081559</v>
      </c>
      <c r="V73" s="3">
        <f t="shared" si="11"/>
        <v>300.61459666381984</v>
      </c>
    </row>
    <row r="74" spans="1:22" x14ac:dyDescent="0.3">
      <c r="A74">
        <v>2024</v>
      </c>
      <c r="B74" t="s">
        <v>35</v>
      </c>
      <c r="C74">
        <v>525</v>
      </c>
      <c r="D74" t="s">
        <v>10</v>
      </c>
      <c r="E74" s="1">
        <v>2</v>
      </c>
      <c r="F74" s="2" t="s">
        <v>11</v>
      </c>
      <c r="G74" s="2" t="s">
        <v>14</v>
      </c>
      <c r="H74" s="2">
        <f t="shared" si="6"/>
        <v>100</v>
      </c>
      <c r="I74" s="2">
        <v>236</v>
      </c>
      <c r="J74" s="2">
        <f t="shared" si="7"/>
        <v>336</v>
      </c>
      <c r="K74" s="1" t="s">
        <v>15</v>
      </c>
      <c r="L74">
        <v>31</v>
      </c>
      <c r="M74">
        <v>18</v>
      </c>
      <c r="N74">
        <v>317.60000000000002</v>
      </c>
      <c r="O74">
        <v>20.100000000000001</v>
      </c>
      <c r="P74">
        <f t="shared" si="8"/>
        <v>558</v>
      </c>
      <c r="Q74">
        <v>2205.6999999999998</v>
      </c>
      <c r="R74">
        <v>209.2</v>
      </c>
      <c r="S74">
        <f t="shared" si="9"/>
        <v>2414.8999999999996</v>
      </c>
      <c r="T74">
        <v>13</v>
      </c>
      <c r="U74" s="3">
        <f t="shared" si="10"/>
        <v>10782.113677081559</v>
      </c>
      <c r="V74" s="3">
        <f t="shared" si="11"/>
        <v>300.61459666381984</v>
      </c>
    </row>
    <row r="75" spans="1:22" x14ac:dyDescent="0.3">
      <c r="A75">
        <v>2024</v>
      </c>
      <c r="B75" t="s">
        <v>35</v>
      </c>
      <c r="C75">
        <v>525</v>
      </c>
      <c r="D75" t="s">
        <v>10</v>
      </c>
      <c r="E75" s="1">
        <v>2</v>
      </c>
      <c r="F75" s="2" t="s">
        <v>11</v>
      </c>
      <c r="G75" s="2" t="s">
        <v>14</v>
      </c>
      <c r="H75" s="2">
        <f t="shared" si="6"/>
        <v>100</v>
      </c>
      <c r="I75" s="2">
        <v>236</v>
      </c>
      <c r="J75" s="2">
        <f t="shared" si="7"/>
        <v>336</v>
      </c>
      <c r="K75" s="1" t="s">
        <v>15</v>
      </c>
      <c r="L75">
        <v>35</v>
      </c>
      <c r="M75">
        <v>18</v>
      </c>
      <c r="N75">
        <v>317.60000000000002</v>
      </c>
      <c r="O75">
        <v>20.100000000000001</v>
      </c>
      <c r="P75">
        <f t="shared" si="8"/>
        <v>630</v>
      </c>
      <c r="Q75">
        <v>2205.6999999999998</v>
      </c>
      <c r="R75">
        <v>209.2</v>
      </c>
      <c r="S75">
        <f t="shared" si="9"/>
        <v>2414.8999999999996</v>
      </c>
      <c r="T75">
        <v>13</v>
      </c>
      <c r="U75" s="3">
        <f t="shared" si="10"/>
        <v>10782.113677081559</v>
      </c>
      <c r="V75" s="3">
        <f t="shared" si="11"/>
        <v>300.61459666381984</v>
      </c>
    </row>
    <row r="76" spans="1:22" x14ac:dyDescent="0.3">
      <c r="A76">
        <v>2024</v>
      </c>
      <c r="B76" t="s">
        <v>35</v>
      </c>
      <c r="C76">
        <v>525</v>
      </c>
      <c r="D76" t="s">
        <v>10</v>
      </c>
      <c r="E76" s="1">
        <v>2</v>
      </c>
      <c r="F76" s="2" t="s">
        <v>11</v>
      </c>
      <c r="G76" s="2" t="s">
        <v>14</v>
      </c>
      <c r="H76" s="2">
        <f t="shared" si="6"/>
        <v>100</v>
      </c>
      <c r="I76" s="2">
        <v>236</v>
      </c>
      <c r="J76" s="2">
        <f t="shared" si="7"/>
        <v>336</v>
      </c>
      <c r="K76" s="1" t="s">
        <v>15</v>
      </c>
      <c r="L76">
        <v>19</v>
      </c>
      <c r="M76">
        <v>16</v>
      </c>
      <c r="N76">
        <v>317.60000000000002</v>
      </c>
      <c r="O76">
        <v>20.100000000000001</v>
      </c>
      <c r="P76">
        <f t="shared" si="8"/>
        <v>304</v>
      </c>
      <c r="Q76">
        <v>2205.6999999999998</v>
      </c>
      <c r="R76">
        <v>209.2</v>
      </c>
      <c r="S76">
        <f t="shared" si="9"/>
        <v>2414.8999999999996</v>
      </c>
      <c r="T76">
        <v>13</v>
      </c>
      <c r="U76" s="3">
        <f t="shared" si="10"/>
        <v>10782.113677081559</v>
      </c>
      <c r="V76" s="3">
        <f t="shared" si="11"/>
        <v>300.61459666381984</v>
      </c>
    </row>
    <row r="77" spans="1:22" x14ac:dyDescent="0.3">
      <c r="A77">
        <v>2024</v>
      </c>
      <c r="B77" t="s">
        <v>35</v>
      </c>
      <c r="C77">
        <v>525</v>
      </c>
      <c r="D77" t="s">
        <v>10</v>
      </c>
      <c r="E77" s="1">
        <v>2</v>
      </c>
      <c r="F77" s="2" t="s">
        <v>11</v>
      </c>
      <c r="G77" s="2" t="s">
        <v>14</v>
      </c>
      <c r="H77" s="2">
        <f t="shared" si="6"/>
        <v>100</v>
      </c>
      <c r="I77" s="2">
        <v>236</v>
      </c>
      <c r="J77" s="2">
        <f t="shared" si="7"/>
        <v>336</v>
      </c>
      <c r="K77" s="1" t="s">
        <v>15</v>
      </c>
      <c r="L77">
        <v>29</v>
      </c>
      <c r="M77">
        <v>17</v>
      </c>
      <c r="N77">
        <v>317.60000000000002</v>
      </c>
      <c r="O77">
        <v>20.100000000000001</v>
      </c>
      <c r="P77">
        <f t="shared" si="8"/>
        <v>493</v>
      </c>
      <c r="Q77">
        <v>2205.6999999999998</v>
      </c>
      <c r="R77">
        <v>209.2</v>
      </c>
      <c r="S77">
        <f t="shared" si="9"/>
        <v>2414.8999999999996</v>
      </c>
      <c r="T77">
        <v>13</v>
      </c>
      <c r="U77" s="3">
        <f t="shared" si="10"/>
        <v>10782.113677081559</v>
      </c>
      <c r="V77" s="3">
        <f t="shared" si="11"/>
        <v>300.61459666381984</v>
      </c>
    </row>
    <row r="78" spans="1:22" x14ac:dyDescent="0.3">
      <c r="A78">
        <v>2024</v>
      </c>
      <c r="B78" t="s">
        <v>35</v>
      </c>
      <c r="C78">
        <v>525</v>
      </c>
      <c r="D78" t="s">
        <v>10</v>
      </c>
      <c r="E78" s="1">
        <v>2</v>
      </c>
      <c r="F78" s="2" t="s">
        <v>11</v>
      </c>
      <c r="G78" s="2" t="s">
        <v>14</v>
      </c>
      <c r="H78" s="2">
        <f t="shared" si="6"/>
        <v>100</v>
      </c>
      <c r="I78" s="2">
        <v>236</v>
      </c>
      <c r="J78" s="2">
        <f t="shared" si="7"/>
        <v>336</v>
      </c>
      <c r="K78" s="1" t="s">
        <v>15</v>
      </c>
      <c r="L78">
        <v>30</v>
      </c>
      <c r="M78">
        <v>16</v>
      </c>
      <c r="N78">
        <v>317.60000000000002</v>
      </c>
      <c r="O78">
        <v>20.100000000000001</v>
      </c>
      <c r="P78">
        <f t="shared" si="8"/>
        <v>480</v>
      </c>
      <c r="Q78">
        <v>2205.6999999999998</v>
      </c>
      <c r="R78">
        <v>209.2</v>
      </c>
      <c r="S78">
        <f t="shared" si="9"/>
        <v>2414.8999999999996</v>
      </c>
      <c r="T78">
        <v>13</v>
      </c>
      <c r="U78" s="3">
        <f t="shared" si="10"/>
        <v>10782.113677081559</v>
      </c>
      <c r="V78" s="3">
        <f t="shared" si="11"/>
        <v>300.61459666381984</v>
      </c>
    </row>
    <row r="79" spans="1:22" x14ac:dyDescent="0.3">
      <c r="A79">
        <v>2024</v>
      </c>
      <c r="B79" t="s">
        <v>35</v>
      </c>
      <c r="C79">
        <v>525</v>
      </c>
      <c r="D79" t="s">
        <v>10</v>
      </c>
      <c r="E79" s="1">
        <v>2</v>
      </c>
      <c r="F79" s="2" t="s">
        <v>11</v>
      </c>
      <c r="G79" s="2" t="s">
        <v>14</v>
      </c>
      <c r="H79" s="2">
        <f t="shared" si="6"/>
        <v>100</v>
      </c>
      <c r="I79" s="2">
        <v>236</v>
      </c>
      <c r="J79" s="2">
        <f t="shared" si="7"/>
        <v>336</v>
      </c>
      <c r="K79" s="1" t="s">
        <v>15</v>
      </c>
      <c r="L79">
        <v>20</v>
      </c>
      <c r="M79">
        <v>16</v>
      </c>
      <c r="N79">
        <v>317.60000000000002</v>
      </c>
      <c r="O79">
        <v>20.100000000000001</v>
      </c>
      <c r="P79">
        <f t="shared" si="8"/>
        <v>320</v>
      </c>
      <c r="Q79">
        <v>2205.6999999999998</v>
      </c>
      <c r="R79">
        <v>209.2</v>
      </c>
      <c r="S79">
        <f t="shared" si="9"/>
        <v>2414.8999999999996</v>
      </c>
      <c r="T79">
        <v>13</v>
      </c>
      <c r="U79" s="3">
        <f t="shared" si="10"/>
        <v>10782.113677081559</v>
      </c>
      <c r="V79" s="3">
        <f t="shared" si="11"/>
        <v>300.61459666381984</v>
      </c>
    </row>
    <row r="80" spans="1:22" x14ac:dyDescent="0.3">
      <c r="A80">
        <v>2024</v>
      </c>
      <c r="B80" t="s">
        <v>35</v>
      </c>
      <c r="C80">
        <v>525</v>
      </c>
      <c r="D80" t="s">
        <v>10</v>
      </c>
      <c r="E80" s="1">
        <v>2</v>
      </c>
      <c r="F80" s="2" t="s">
        <v>11</v>
      </c>
      <c r="G80" s="2" t="s">
        <v>14</v>
      </c>
      <c r="H80" s="2">
        <f t="shared" si="6"/>
        <v>100</v>
      </c>
      <c r="I80" s="2">
        <v>236</v>
      </c>
      <c r="J80" s="2">
        <f t="shared" si="7"/>
        <v>336</v>
      </c>
      <c r="K80" s="1" t="s">
        <v>15</v>
      </c>
      <c r="L80">
        <v>30</v>
      </c>
      <c r="M80">
        <v>16</v>
      </c>
      <c r="N80">
        <v>317.60000000000002</v>
      </c>
      <c r="O80">
        <v>20.100000000000001</v>
      </c>
      <c r="P80">
        <f t="shared" si="8"/>
        <v>480</v>
      </c>
      <c r="Q80">
        <v>2205.6999999999998</v>
      </c>
      <c r="R80">
        <v>209.2</v>
      </c>
      <c r="S80">
        <f t="shared" si="9"/>
        <v>2414.8999999999996</v>
      </c>
      <c r="T80">
        <v>13</v>
      </c>
      <c r="U80" s="3">
        <f t="shared" si="10"/>
        <v>10782.113677081559</v>
      </c>
      <c r="V80" s="3">
        <f t="shared" si="11"/>
        <v>300.61459666381984</v>
      </c>
    </row>
    <row r="81" spans="1:22" x14ac:dyDescent="0.3">
      <c r="A81">
        <v>2024</v>
      </c>
      <c r="B81" t="s">
        <v>35</v>
      </c>
      <c r="C81">
        <v>525</v>
      </c>
      <c r="D81" t="s">
        <v>10</v>
      </c>
      <c r="E81" s="1">
        <v>2</v>
      </c>
      <c r="F81" s="2" t="s">
        <v>11</v>
      </c>
      <c r="G81" s="2" t="s">
        <v>14</v>
      </c>
      <c r="H81" s="2">
        <f t="shared" si="6"/>
        <v>100</v>
      </c>
      <c r="I81" s="2">
        <v>236</v>
      </c>
      <c r="J81" s="2">
        <f t="shared" si="7"/>
        <v>336</v>
      </c>
      <c r="K81" s="1" t="s">
        <v>15</v>
      </c>
      <c r="L81">
        <v>33</v>
      </c>
      <c r="M81">
        <v>18</v>
      </c>
      <c r="N81">
        <v>317.60000000000002</v>
      </c>
      <c r="O81">
        <v>20.100000000000001</v>
      </c>
      <c r="P81">
        <f t="shared" si="8"/>
        <v>594</v>
      </c>
      <c r="Q81">
        <v>2205.6999999999998</v>
      </c>
      <c r="R81">
        <v>209.2</v>
      </c>
      <c r="S81">
        <f t="shared" si="9"/>
        <v>2414.8999999999996</v>
      </c>
      <c r="T81">
        <v>13</v>
      </c>
      <c r="U81" s="3">
        <f t="shared" si="10"/>
        <v>10782.113677081559</v>
      </c>
      <c r="V81" s="3">
        <f t="shared" si="11"/>
        <v>300.61459666381984</v>
      </c>
    </row>
    <row r="82" spans="1:22" x14ac:dyDescent="0.3">
      <c r="A82">
        <v>2024</v>
      </c>
      <c r="B82" t="s">
        <v>35</v>
      </c>
      <c r="C82">
        <v>525</v>
      </c>
      <c r="D82" t="s">
        <v>10</v>
      </c>
      <c r="E82" s="1">
        <v>2</v>
      </c>
      <c r="F82" s="2" t="s">
        <v>11</v>
      </c>
      <c r="G82" s="2" t="s">
        <v>14</v>
      </c>
      <c r="H82" s="2">
        <f t="shared" si="6"/>
        <v>100</v>
      </c>
      <c r="I82" s="2">
        <v>236</v>
      </c>
      <c r="J82" s="2">
        <f t="shared" si="7"/>
        <v>336</v>
      </c>
      <c r="K82" s="1" t="s">
        <v>15</v>
      </c>
      <c r="L82">
        <v>26</v>
      </c>
      <c r="M82">
        <v>18</v>
      </c>
      <c r="N82">
        <v>317.60000000000002</v>
      </c>
      <c r="O82">
        <v>20.100000000000001</v>
      </c>
      <c r="P82">
        <f t="shared" si="8"/>
        <v>468</v>
      </c>
      <c r="Q82">
        <v>2205.6999999999998</v>
      </c>
      <c r="R82">
        <v>209.2</v>
      </c>
      <c r="S82">
        <f t="shared" si="9"/>
        <v>2414.8999999999996</v>
      </c>
      <c r="T82">
        <v>13</v>
      </c>
      <c r="U82" s="3">
        <f t="shared" si="10"/>
        <v>10782.113677081559</v>
      </c>
      <c r="V82" s="3">
        <f t="shared" si="11"/>
        <v>300.61459666381984</v>
      </c>
    </row>
    <row r="83" spans="1:22" x14ac:dyDescent="0.3">
      <c r="A83">
        <v>2024</v>
      </c>
      <c r="B83" t="s">
        <v>35</v>
      </c>
      <c r="C83">
        <v>525</v>
      </c>
      <c r="D83" t="s">
        <v>10</v>
      </c>
      <c r="E83" s="1">
        <v>2</v>
      </c>
      <c r="F83" s="2" t="s">
        <v>11</v>
      </c>
      <c r="G83" s="2" t="s">
        <v>14</v>
      </c>
      <c r="H83" s="2">
        <f t="shared" si="6"/>
        <v>100</v>
      </c>
      <c r="I83" s="2">
        <v>236</v>
      </c>
      <c r="J83" s="2">
        <f t="shared" si="7"/>
        <v>336</v>
      </c>
      <c r="K83" s="1" t="s">
        <v>15</v>
      </c>
      <c r="L83">
        <v>29</v>
      </c>
      <c r="M83">
        <v>16</v>
      </c>
      <c r="N83">
        <v>317.60000000000002</v>
      </c>
      <c r="O83">
        <v>20.100000000000001</v>
      </c>
      <c r="P83">
        <f t="shared" si="8"/>
        <v>464</v>
      </c>
      <c r="Q83">
        <v>2205.6999999999998</v>
      </c>
      <c r="R83">
        <v>209.2</v>
      </c>
      <c r="S83">
        <f t="shared" si="9"/>
        <v>2414.8999999999996</v>
      </c>
      <c r="T83">
        <v>13</v>
      </c>
      <c r="U83" s="3">
        <f t="shared" si="10"/>
        <v>10782.113677081559</v>
      </c>
      <c r="V83" s="3">
        <f t="shared" si="11"/>
        <v>300.61459666381984</v>
      </c>
    </row>
    <row r="84" spans="1:22" x14ac:dyDescent="0.3">
      <c r="A84">
        <v>2024</v>
      </c>
      <c r="B84" t="s">
        <v>35</v>
      </c>
      <c r="C84">
        <v>525</v>
      </c>
      <c r="D84" t="s">
        <v>10</v>
      </c>
      <c r="E84" s="1">
        <v>2</v>
      </c>
      <c r="F84" s="2" t="s">
        <v>11</v>
      </c>
      <c r="G84" s="2" t="s">
        <v>14</v>
      </c>
      <c r="H84" s="2">
        <f t="shared" si="6"/>
        <v>100</v>
      </c>
      <c r="I84" s="2">
        <v>236</v>
      </c>
      <c r="J84" s="2">
        <f t="shared" si="7"/>
        <v>336</v>
      </c>
      <c r="K84" s="1" t="s">
        <v>15</v>
      </c>
      <c r="L84">
        <v>32</v>
      </c>
      <c r="M84">
        <v>20</v>
      </c>
      <c r="N84">
        <v>317.60000000000002</v>
      </c>
      <c r="O84">
        <v>20.100000000000001</v>
      </c>
      <c r="P84">
        <f t="shared" si="8"/>
        <v>640</v>
      </c>
      <c r="Q84">
        <v>2205.6999999999998</v>
      </c>
      <c r="R84">
        <v>209.2</v>
      </c>
      <c r="S84">
        <f t="shared" si="9"/>
        <v>2414.8999999999996</v>
      </c>
      <c r="T84">
        <v>13</v>
      </c>
      <c r="U84" s="3">
        <f t="shared" si="10"/>
        <v>10782.113677081559</v>
      </c>
      <c r="V84" s="3">
        <f t="shared" si="11"/>
        <v>300.61459666381984</v>
      </c>
    </row>
    <row r="85" spans="1:22" x14ac:dyDescent="0.3">
      <c r="A85">
        <v>2024</v>
      </c>
      <c r="B85" t="s">
        <v>35</v>
      </c>
      <c r="C85">
        <v>526</v>
      </c>
      <c r="D85" t="s">
        <v>10</v>
      </c>
      <c r="E85" s="1">
        <v>2</v>
      </c>
      <c r="F85" s="2" t="s">
        <v>11</v>
      </c>
      <c r="G85" s="2" t="s">
        <v>13</v>
      </c>
      <c r="H85" s="2">
        <f t="shared" si="6"/>
        <v>100</v>
      </c>
      <c r="I85" s="2">
        <v>105</v>
      </c>
      <c r="J85" s="2">
        <f t="shared" si="7"/>
        <v>205</v>
      </c>
      <c r="K85" s="1" t="s">
        <v>15</v>
      </c>
      <c r="L85">
        <v>31</v>
      </c>
      <c r="M85">
        <v>18</v>
      </c>
      <c r="N85">
        <v>306.89999999999998</v>
      </c>
      <c r="O85">
        <v>14.1</v>
      </c>
      <c r="P85">
        <f t="shared" si="8"/>
        <v>558</v>
      </c>
      <c r="Q85">
        <v>1390.6</v>
      </c>
      <c r="R85">
        <v>158.5</v>
      </c>
      <c r="S85">
        <f t="shared" si="9"/>
        <v>1549.1</v>
      </c>
      <c r="T85">
        <v>14</v>
      </c>
      <c r="U85" s="3">
        <f t="shared" si="10"/>
        <v>9690.2868459419406</v>
      </c>
      <c r="V85" s="3">
        <f t="shared" si="11"/>
        <v>270.17352617432618</v>
      </c>
    </row>
    <row r="86" spans="1:22" x14ac:dyDescent="0.3">
      <c r="A86">
        <v>2024</v>
      </c>
      <c r="B86" t="s">
        <v>35</v>
      </c>
      <c r="C86">
        <v>526</v>
      </c>
      <c r="D86" t="s">
        <v>10</v>
      </c>
      <c r="E86" s="1">
        <v>2</v>
      </c>
      <c r="F86" s="2" t="s">
        <v>11</v>
      </c>
      <c r="G86" s="2" t="s">
        <v>13</v>
      </c>
      <c r="H86" s="2">
        <f t="shared" si="6"/>
        <v>100</v>
      </c>
      <c r="I86" s="2">
        <v>105</v>
      </c>
      <c r="J86" s="2">
        <f t="shared" si="7"/>
        <v>205</v>
      </c>
      <c r="K86" s="1" t="s">
        <v>15</v>
      </c>
      <c r="L86">
        <v>25</v>
      </c>
      <c r="M86">
        <v>16</v>
      </c>
      <c r="N86">
        <v>306.89999999999998</v>
      </c>
      <c r="O86">
        <v>14.1</v>
      </c>
      <c r="P86">
        <f t="shared" si="8"/>
        <v>400</v>
      </c>
      <c r="Q86">
        <v>1390.6</v>
      </c>
      <c r="R86">
        <v>158.5</v>
      </c>
      <c r="S86">
        <f t="shared" si="9"/>
        <v>1549.1</v>
      </c>
      <c r="T86">
        <v>14</v>
      </c>
      <c r="U86" s="3">
        <f t="shared" si="10"/>
        <v>9690.2868459419406</v>
      </c>
      <c r="V86" s="3">
        <f t="shared" si="11"/>
        <v>270.17352617432618</v>
      </c>
    </row>
    <row r="87" spans="1:22" x14ac:dyDescent="0.3">
      <c r="A87">
        <v>2024</v>
      </c>
      <c r="B87" t="s">
        <v>35</v>
      </c>
      <c r="C87">
        <v>526</v>
      </c>
      <c r="D87" t="s">
        <v>10</v>
      </c>
      <c r="E87" s="1">
        <v>2</v>
      </c>
      <c r="F87" s="2" t="s">
        <v>11</v>
      </c>
      <c r="G87" s="2" t="s">
        <v>13</v>
      </c>
      <c r="H87" s="2">
        <f t="shared" si="6"/>
        <v>100</v>
      </c>
      <c r="I87" s="2">
        <v>105</v>
      </c>
      <c r="J87" s="2">
        <f t="shared" si="7"/>
        <v>205</v>
      </c>
      <c r="K87" s="1" t="s">
        <v>15</v>
      </c>
      <c r="L87">
        <v>27</v>
      </c>
      <c r="M87">
        <v>16</v>
      </c>
      <c r="N87">
        <v>306.89999999999998</v>
      </c>
      <c r="O87">
        <v>14.1</v>
      </c>
      <c r="P87">
        <f t="shared" si="8"/>
        <v>432</v>
      </c>
      <c r="Q87">
        <v>1390.6</v>
      </c>
      <c r="R87">
        <v>158.5</v>
      </c>
      <c r="S87">
        <f t="shared" si="9"/>
        <v>1549.1</v>
      </c>
      <c r="T87">
        <v>14</v>
      </c>
      <c r="U87" s="3">
        <f t="shared" si="10"/>
        <v>9690.2868459419406</v>
      </c>
      <c r="V87" s="3">
        <f t="shared" si="11"/>
        <v>270.17352617432618</v>
      </c>
    </row>
    <row r="88" spans="1:22" x14ac:dyDescent="0.3">
      <c r="A88">
        <v>2024</v>
      </c>
      <c r="B88" t="s">
        <v>35</v>
      </c>
      <c r="C88">
        <v>526</v>
      </c>
      <c r="D88" t="s">
        <v>10</v>
      </c>
      <c r="E88" s="1">
        <v>2</v>
      </c>
      <c r="F88" s="2" t="s">
        <v>11</v>
      </c>
      <c r="G88" s="2" t="s">
        <v>13</v>
      </c>
      <c r="H88" s="2">
        <f t="shared" si="6"/>
        <v>100</v>
      </c>
      <c r="I88" s="2">
        <v>105</v>
      </c>
      <c r="J88" s="2">
        <f t="shared" si="7"/>
        <v>205</v>
      </c>
      <c r="K88" s="1" t="s">
        <v>15</v>
      </c>
      <c r="L88">
        <v>34</v>
      </c>
      <c r="M88">
        <v>16</v>
      </c>
      <c r="N88">
        <v>306.89999999999998</v>
      </c>
      <c r="O88">
        <v>14.1</v>
      </c>
      <c r="P88">
        <f t="shared" si="8"/>
        <v>544</v>
      </c>
      <c r="Q88">
        <v>1390.6</v>
      </c>
      <c r="R88">
        <v>158.5</v>
      </c>
      <c r="S88">
        <f t="shared" si="9"/>
        <v>1549.1</v>
      </c>
      <c r="T88">
        <v>14</v>
      </c>
      <c r="U88" s="3">
        <f t="shared" si="10"/>
        <v>9690.2868459419406</v>
      </c>
      <c r="V88" s="3">
        <f t="shared" si="11"/>
        <v>270.17352617432618</v>
      </c>
    </row>
    <row r="89" spans="1:22" x14ac:dyDescent="0.3">
      <c r="A89">
        <v>2024</v>
      </c>
      <c r="B89" t="s">
        <v>35</v>
      </c>
      <c r="C89">
        <v>526</v>
      </c>
      <c r="D89" t="s">
        <v>10</v>
      </c>
      <c r="E89" s="1">
        <v>2</v>
      </c>
      <c r="F89" s="2" t="s">
        <v>11</v>
      </c>
      <c r="G89" s="2" t="s">
        <v>13</v>
      </c>
      <c r="H89" s="2">
        <f t="shared" si="6"/>
        <v>100</v>
      </c>
      <c r="I89" s="2">
        <v>105</v>
      </c>
      <c r="J89" s="2">
        <f t="shared" si="7"/>
        <v>205</v>
      </c>
      <c r="K89" s="1" t="s">
        <v>15</v>
      </c>
      <c r="L89">
        <v>24</v>
      </c>
      <c r="M89">
        <v>14</v>
      </c>
      <c r="N89">
        <v>306.89999999999998</v>
      </c>
      <c r="O89">
        <v>14.1</v>
      </c>
      <c r="P89">
        <f t="shared" si="8"/>
        <v>336</v>
      </c>
      <c r="Q89">
        <v>1390.6</v>
      </c>
      <c r="R89">
        <v>158.5</v>
      </c>
      <c r="S89">
        <f t="shared" si="9"/>
        <v>1549.1</v>
      </c>
      <c r="T89">
        <v>14</v>
      </c>
      <c r="U89" s="3">
        <f t="shared" si="10"/>
        <v>9690.2868459419406</v>
      </c>
      <c r="V89" s="3">
        <f t="shared" si="11"/>
        <v>270.17352617432618</v>
      </c>
    </row>
    <row r="90" spans="1:22" x14ac:dyDescent="0.3">
      <c r="A90">
        <v>2024</v>
      </c>
      <c r="B90" t="s">
        <v>35</v>
      </c>
      <c r="C90">
        <v>526</v>
      </c>
      <c r="D90" t="s">
        <v>10</v>
      </c>
      <c r="E90" s="1">
        <v>2</v>
      </c>
      <c r="F90" s="2" t="s">
        <v>11</v>
      </c>
      <c r="G90" s="2" t="s">
        <v>13</v>
      </c>
      <c r="H90" s="2">
        <f t="shared" si="6"/>
        <v>100</v>
      </c>
      <c r="I90" s="2">
        <v>105</v>
      </c>
      <c r="J90" s="2">
        <f t="shared" si="7"/>
        <v>205</v>
      </c>
      <c r="K90" s="1" t="s">
        <v>15</v>
      </c>
      <c r="L90">
        <v>13</v>
      </c>
      <c r="M90">
        <v>13</v>
      </c>
      <c r="N90">
        <v>306.89999999999998</v>
      </c>
      <c r="O90">
        <v>14.1</v>
      </c>
      <c r="P90">
        <f t="shared" si="8"/>
        <v>169</v>
      </c>
      <c r="Q90">
        <v>1390.6</v>
      </c>
      <c r="R90">
        <v>158.5</v>
      </c>
      <c r="S90">
        <f t="shared" si="9"/>
        <v>1549.1</v>
      </c>
      <c r="T90">
        <v>14</v>
      </c>
      <c r="U90" s="3">
        <f t="shared" si="10"/>
        <v>9690.2868459419406</v>
      </c>
      <c r="V90" s="3">
        <f t="shared" si="11"/>
        <v>270.17352617432618</v>
      </c>
    </row>
    <row r="91" spans="1:22" x14ac:dyDescent="0.3">
      <c r="A91">
        <v>2024</v>
      </c>
      <c r="B91" t="s">
        <v>35</v>
      </c>
      <c r="C91">
        <v>526</v>
      </c>
      <c r="D91" t="s">
        <v>10</v>
      </c>
      <c r="E91" s="1">
        <v>2</v>
      </c>
      <c r="F91" s="2" t="s">
        <v>11</v>
      </c>
      <c r="G91" s="2" t="s">
        <v>13</v>
      </c>
      <c r="H91" s="2">
        <f t="shared" si="6"/>
        <v>100</v>
      </c>
      <c r="I91" s="2">
        <v>105</v>
      </c>
      <c r="J91" s="2">
        <f t="shared" si="7"/>
        <v>205</v>
      </c>
      <c r="K91" s="1" t="s">
        <v>15</v>
      </c>
      <c r="L91">
        <v>20</v>
      </c>
      <c r="M91">
        <v>16</v>
      </c>
      <c r="N91">
        <v>306.89999999999998</v>
      </c>
      <c r="O91">
        <v>14.1</v>
      </c>
      <c r="P91">
        <f t="shared" si="8"/>
        <v>320</v>
      </c>
      <c r="Q91">
        <v>1390.6</v>
      </c>
      <c r="R91">
        <v>158.5</v>
      </c>
      <c r="S91">
        <f t="shared" si="9"/>
        <v>1549.1</v>
      </c>
      <c r="T91">
        <v>14</v>
      </c>
      <c r="U91" s="3">
        <f t="shared" si="10"/>
        <v>9690.2868459419406</v>
      </c>
      <c r="V91" s="3">
        <f t="shared" si="11"/>
        <v>270.17352617432618</v>
      </c>
    </row>
    <row r="92" spans="1:22" x14ac:dyDescent="0.3">
      <c r="A92">
        <v>2024</v>
      </c>
      <c r="B92" t="s">
        <v>35</v>
      </c>
      <c r="C92">
        <v>526</v>
      </c>
      <c r="D92" t="s">
        <v>10</v>
      </c>
      <c r="E92" s="1">
        <v>2</v>
      </c>
      <c r="F92" s="2" t="s">
        <v>11</v>
      </c>
      <c r="G92" s="2" t="s">
        <v>13</v>
      </c>
      <c r="H92" s="2">
        <f t="shared" si="6"/>
        <v>100</v>
      </c>
      <c r="I92" s="2">
        <v>105</v>
      </c>
      <c r="J92" s="2">
        <f t="shared" si="7"/>
        <v>205</v>
      </c>
      <c r="K92" s="1" t="s">
        <v>15</v>
      </c>
      <c r="L92">
        <v>30</v>
      </c>
      <c r="M92">
        <v>20</v>
      </c>
      <c r="N92">
        <v>306.89999999999998</v>
      </c>
      <c r="O92">
        <v>14.1</v>
      </c>
      <c r="P92">
        <f t="shared" si="8"/>
        <v>600</v>
      </c>
      <c r="Q92">
        <v>1390.6</v>
      </c>
      <c r="R92">
        <v>158.5</v>
      </c>
      <c r="S92">
        <f t="shared" si="9"/>
        <v>1549.1</v>
      </c>
      <c r="T92">
        <v>14</v>
      </c>
      <c r="U92" s="3">
        <f t="shared" si="10"/>
        <v>9690.2868459419406</v>
      </c>
      <c r="V92" s="3">
        <f t="shared" si="11"/>
        <v>270.17352617432618</v>
      </c>
    </row>
    <row r="93" spans="1:22" x14ac:dyDescent="0.3">
      <c r="A93">
        <v>2024</v>
      </c>
      <c r="B93" t="s">
        <v>35</v>
      </c>
      <c r="C93">
        <v>526</v>
      </c>
      <c r="D93" t="s">
        <v>10</v>
      </c>
      <c r="E93" s="1">
        <v>2</v>
      </c>
      <c r="F93" s="2" t="s">
        <v>11</v>
      </c>
      <c r="G93" s="2" t="s">
        <v>13</v>
      </c>
      <c r="H93" s="2">
        <f t="shared" si="6"/>
        <v>100</v>
      </c>
      <c r="I93" s="2">
        <v>105</v>
      </c>
      <c r="J93" s="2">
        <f t="shared" si="7"/>
        <v>205</v>
      </c>
      <c r="K93" s="1" t="s">
        <v>15</v>
      </c>
      <c r="L93">
        <v>37</v>
      </c>
      <c r="M93">
        <v>14</v>
      </c>
      <c r="N93">
        <v>306.89999999999998</v>
      </c>
      <c r="O93">
        <v>14.1</v>
      </c>
      <c r="P93">
        <f t="shared" si="8"/>
        <v>518</v>
      </c>
      <c r="Q93">
        <v>1390.6</v>
      </c>
      <c r="R93">
        <v>158.5</v>
      </c>
      <c r="S93">
        <f t="shared" si="9"/>
        <v>1549.1</v>
      </c>
      <c r="T93">
        <v>14</v>
      </c>
      <c r="U93" s="3">
        <f t="shared" si="10"/>
        <v>9690.2868459419406</v>
      </c>
      <c r="V93" s="3">
        <f t="shared" si="11"/>
        <v>270.17352617432618</v>
      </c>
    </row>
    <row r="94" spans="1:22" x14ac:dyDescent="0.3">
      <c r="A94">
        <v>2024</v>
      </c>
      <c r="B94" t="s">
        <v>35</v>
      </c>
      <c r="C94">
        <v>526</v>
      </c>
      <c r="D94" t="s">
        <v>10</v>
      </c>
      <c r="E94" s="1">
        <v>2</v>
      </c>
      <c r="F94" s="2" t="s">
        <v>11</v>
      </c>
      <c r="G94" s="2" t="s">
        <v>13</v>
      </c>
      <c r="H94" s="2">
        <f t="shared" si="6"/>
        <v>100</v>
      </c>
      <c r="I94" s="2">
        <v>105</v>
      </c>
      <c r="J94" s="2">
        <f t="shared" si="7"/>
        <v>205</v>
      </c>
      <c r="K94" s="1" t="s">
        <v>15</v>
      </c>
      <c r="L94">
        <v>37</v>
      </c>
      <c r="M94">
        <v>18</v>
      </c>
      <c r="N94">
        <v>306.89999999999998</v>
      </c>
      <c r="O94">
        <v>14.1</v>
      </c>
      <c r="P94">
        <f t="shared" si="8"/>
        <v>666</v>
      </c>
      <c r="Q94">
        <v>1390.6</v>
      </c>
      <c r="R94">
        <v>158.5</v>
      </c>
      <c r="S94">
        <f t="shared" si="9"/>
        <v>1549.1</v>
      </c>
      <c r="T94">
        <v>14</v>
      </c>
      <c r="U94" s="3">
        <f t="shared" si="10"/>
        <v>9690.2868459419406</v>
      </c>
      <c r="V94" s="3">
        <f t="shared" si="11"/>
        <v>270.17352617432618</v>
      </c>
    </row>
    <row r="95" spans="1:22" x14ac:dyDescent="0.3">
      <c r="A95">
        <v>2024</v>
      </c>
      <c r="B95" t="s">
        <v>35</v>
      </c>
      <c r="C95">
        <v>526</v>
      </c>
      <c r="D95" t="s">
        <v>10</v>
      </c>
      <c r="E95" s="1">
        <v>2</v>
      </c>
      <c r="F95" s="2" t="s">
        <v>11</v>
      </c>
      <c r="G95" s="2" t="s">
        <v>13</v>
      </c>
      <c r="H95" s="2">
        <f t="shared" si="6"/>
        <v>100</v>
      </c>
      <c r="I95" s="2">
        <v>105</v>
      </c>
      <c r="J95" s="2">
        <f t="shared" si="7"/>
        <v>205</v>
      </c>
      <c r="K95" s="1" t="s">
        <v>15</v>
      </c>
      <c r="L95">
        <v>32</v>
      </c>
      <c r="M95">
        <v>17</v>
      </c>
      <c r="N95">
        <v>306.89999999999998</v>
      </c>
      <c r="O95">
        <v>14.1</v>
      </c>
      <c r="P95">
        <f t="shared" si="8"/>
        <v>544</v>
      </c>
      <c r="Q95">
        <v>1390.6</v>
      </c>
      <c r="R95">
        <v>158.5</v>
      </c>
      <c r="S95">
        <f t="shared" si="9"/>
        <v>1549.1</v>
      </c>
      <c r="T95">
        <v>14</v>
      </c>
      <c r="U95" s="3">
        <f t="shared" si="10"/>
        <v>9690.2868459419406</v>
      </c>
      <c r="V95" s="3">
        <f t="shared" si="11"/>
        <v>270.17352617432618</v>
      </c>
    </row>
    <row r="96" spans="1:22" x14ac:dyDescent="0.3">
      <c r="A96">
        <v>2024</v>
      </c>
      <c r="B96" t="s">
        <v>35</v>
      </c>
      <c r="C96">
        <v>527</v>
      </c>
      <c r="D96" t="s">
        <v>10</v>
      </c>
      <c r="E96" s="1">
        <v>2</v>
      </c>
      <c r="F96" s="2" t="s">
        <v>11</v>
      </c>
      <c r="G96" s="2">
        <v>0</v>
      </c>
      <c r="H96" s="2">
        <f t="shared" si="6"/>
        <v>0</v>
      </c>
      <c r="I96" s="2">
        <v>0</v>
      </c>
      <c r="J96" s="2">
        <f t="shared" si="7"/>
        <v>0</v>
      </c>
      <c r="K96" s="1" t="s">
        <v>15</v>
      </c>
      <c r="L96">
        <v>25</v>
      </c>
      <c r="M96">
        <v>17</v>
      </c>
      <c r="N96">
        <v>262.3</v>
      </c>
      <c r="O96">
        <v>14.7</v>
      </c>
      <c r="P96">
        <f t="shared" si="8"/>
        <v>425</v>
      </c>
      <c r="Q96">
        <v>784.2</v>
      </c>
      <c r="R96">
        <v>122.6</v>
      </c>
      <c r="S96">
        <f t="shared" si="9"/>
        <v>906.80000000000007</v>
      </c>
      <c r="T96">
        <v>12</v>
      </c>
      <c r="U96" s="3">
        <f t="shared" si="10"/>
        <v>5241.5897174853399</v>
      </c>
      <c r="V96" s="3">
        <f t="shared" si="11"/>
        <v>146.14002652822907</v>
      </c>
    </row>
    <row r="97" spans="1:22" x14ac:dyDescent="0.3">
      <c r="A97">
        <v>2024</v>
      </c>
      <c r="B97" t="s">
        <v>35</v>
      </c>
      <c r="C97">
        <v>527</v>
      </c>
      <c r="D97" t="s">
        <v>10</v>
      </c>
      <c r="E97" s="1">
        <v>2</v>
      </c>
      <c r="F97" s="2" t="s">
        <v>11</v>
      </c>
      <c r="G97" s="2">
        <v>0</v>
      </c>
      <c r="H97" s="2">
        <f t="shared" si="6"/>
        <v>0</v>
      </c>
      <c r="I97" s="2">
        <v>0</v>
      </c>
      <c r="J97" s="2">
        <f t="shared" si="7"/>
        <v>0</v>
      </c>
      <c r="K97" s="1" t="s">
        <v>15</v>
      </c>
      <c r="L97">
        <v>22</v>
      </c>
      <c r="M97">
        <v>13</v>
      </c>
      <c r="N97">
        <v>262.3</v>
      </c>
      <c r="O97">
        <v>14.7</v>
      </c>
      <c r="P97">
        <f t="shared" si="8"/>
        <v>286</v>
      </c>
      <c r="Q97">
        <v>784.2</v>
      </c>
      <c r="R97">
        <v>122.6</v>
      </c>
      <c r="S97">
        <f t="shared" si="9"/>
        <v>906.80000000000007</v>
      </c>
      <c r="T97">
        <v>12</v>
      </c>
      <c r="U97" s="3">
        <f t="shared" si="10"/>
        <v>5241.5897174853399</v>
      </c>
      <c r="V97" s="3">
        <f t="shared" si="11"/>
        <v>146.14002652822907</v>
      </c>
    </row>
    <row r="98" spans="1:22" x14ac:dyDescent="0.3">
      <c r="A98">
        <v>2024</v>
      </c>
      <c r="B98" t="s">
        <v>35</v>
      </c>
      <c r="C98">
        <v>527</v>
      </c>
      <c r="D98" t="s">
        <v>10</v>
      </c>
      <c r="E98" s="1">
        <v>2</v>
      </c>
      <c r="F98" s="2" t="s">
        <v>11</v>
      </c>
      <c r="G98" s="2">
        <v>0</v>
      </c>
      <c r="H98" s="2">
        <f t="shared" si="6"/>
        <v>0</v>
      </c>
      <c r="I98" s="2">
        <v>0</v>
      </c>
      <c r="J98" s="2">
        <f t="shared" si="7"/>
        <v>0</v>
      </c>
      <c r="K98" s="1" t="s">
        <v>15</v>
      </c>
      <c r="L98">
        <v>25</v>
      </c>
      <c r="M98">
        <v>16</v>
      </c>
      <c r="N98">
        <v>262.3</v>
      </c>
      <c r="O98">
        <v>14.7</v>
      </c>
      <c r="P98">
        <f t="shared" si="8"/>
        <v>400</v>
      </c>
      <c r="Q98">
        <v>784.2</v>
      </c>
      <c r="R98">
        <v>122.6</v>
      </c>
      <c r="S98">
        <f t="shared" si="9"/>
        <v>906.80000000000007</v>
      </c>
      <c r="T98">
        <v>12</v>
      </c>
      <c r="U98" s="3">
        <f t="shared" si="10"/>
        <v>5241.5897174853399</v>
      </c>
      <c r="V98" s="3">
        <f t="shared" si="11"/>
        <v>146.14002652822907</v>
      </c>
    </row>
    <row r="99" spans="1:22" x14ac:dyDescent="0.3">
      <c r="A99">
        <v>2024</v>
      </c>
      <c r="B99" t="s">
        <v>35</v>
      </c>
      <c r="C99">
        <v>527</v>
      </c>
      <c r="D99" t="s">
        <v>10</v>
      </c>
      <c r="E99" s="1">
        <v>2</v>
      </c>
      <c r="F99" s="2" t="s">
        <v>11</v>
      </c>
      <c r="G99" s="2">
        <v>0</v>
      </c>
      <c r="H99" s="2">
        <f t="shared" si="6"/>
        <v>0</v>
      </c>
      <c r="I99" s="2">
        <v>0</v>
      </c>
      <c r="J99" s="2">
        <f t="shared" si="7"/>
        <v>0</v>
      </c>
      <c r="K99" s="1" t="s">
        <v>15</v>
      </c>
      <c r="L99">
        <v>27</v>
      </c>
      <c r="M99">
        <v>14</v>
      </c>
      <c r="N99">
        <v>262.3</v>
      </c>
      <c r="O99">
        <v>14.7</v>
      </c>
      <c r="P99">
        <f t="shared" si="8"/>
        <v>378</v>
      </c>
      <c r="Q99">
        <v>784.2</v>
      </c>
      <c r="R99">
        <v>122.6</v>
      </c>
      <c r="S99">
        <f t="shared" si="9"/>
        <v>906.80000000000007</v>
      </c>
      <c r="T99">
        <v>12</v>
      </c>
      <c r="U99" s="3">
        <f t="shared" si="10"/>
        <v>5241.5897174853399</v>
      </c>
      <c r="V99" s="3">
        <f t="shared" si="11"/>
        <v>146.14002652822907</v>
      </c>
    </row>
    <row r="100" spans="1:22" x14ac:dyDescent="0.3">
      <c r="A100">
        <v>2024</v>
      </c>
      <c r="B100" t="s">
        <v>35</v>
      </c>
      <c r="C100">
        <v>527</v>
      </c>
      <c r="D100" t="s">
        <v>10</v>
      </c>
      <c r="E100" s="1">
        <v>2</v>
      </c>
      <c r="F100" s="2" t="s">
        <v>11</v>
      </c>
      <c r="G100" s="2">
        <v>0</v>
      </c>
      <c r="H100" s="2">
        <f t="shared" si="6"/>
        <v>0</v>
      </c>
      <c r="I100" s="2">
        <v>0</v>
      </c>
      <c r="J100" s="2">
        <f t="shared" si="7"/>
        <v>0</v>
      </c>
      <c r="K100" s="1" t="s">
        <v>15</v>
      </c>
      <c r="L100">
        <v>30</v>
      </c>
      <c r="M100">
        <v>16</v>
      </c>
      <c r="N100">
        <v>262.3</v>
      </c>
      <c r="O100">
        <v>14.7</v>
      </c>
      <c r="P100">
        <f t="shared" si="8"/>
        <v>480</v>
      </c>
      <c r="Q100">
        <v>784.2</v>
      </c>
      <c r="R100">
        <v>122.6</v>
      </c>
      <c r="S100">
        <f t="shared" si="9"/>
        <v>906.80000000000007</v>
      </c>
      <c r="T100">
        <v>12</v>
      </c>
      <c r="U100" s="3">
        <f t="shared" si="10"/>
        <v>5241.5897174853399</v>
      </c>
      <c r="V100" s="3">
        <f t="shared" si="11"/>
        <v>146.14002652822907</v>
      </c>
    </row>
    <row r="101" spans="1:22" x14ac:dyDescent="0.3">
      <c r="A101">
        <v>2024</v>
      </c>
      <c r="B101" t="s">
        <v>35</v>
      </c>
      <c r="C101">
        <v>527</v>
      </c>
      <c r="D101" t="s">
        <v>10</v>
      </c>
      <c r="E101" s="1">
        <v>2</v>
      </c>
      <c r="F101" s="2" t="s">
        <v>11</v>
      </c>
      <c r="G101" s="2">
        <v>0</v>
      </c>
      <c r="H101" s="2">
        <f t="shared" si="6"/>
        <v>0</v>
      </c>
      <c r="I101" s="2">
        <v>0</v>
      </c>
      <c r="J101" s="2">
        <f t="shared" si="7"/>
        <v>0</v>
      </c>
      <c r="K101" s="1" t="s">
        <v>15</v>
      </c>
      <c r="L101">
        <v>12</v>
      </c>
      <c r="M101">
        <v>15</v>
      </c>
      <c r="N101">
        <v>262.3</v>
      </c>
      <c r="O101">
        <v>14.7</v>
      </c>
      <c r="P101">
        <f t="shared" si="8"/>
        <v>180</v>
      </c>
      <c r="Q101">
        <v>784.2</v>
      </c>
      <c r="R101">
        <v>122.6</v>
      </c>
      <c r="S101">
        <f t="shared" si="9"/>
        <v>906.80000000000007</v>
      </c>
      <c r="T101">
        <v>12</v>
      </c>
      <c r="U101" s="3">
        <f t="shared" si="10"/>
        <v>5241.5897174853399</v>
      </c>
      <c r="V101" s="3">
        <f t="shared" si="11"/>
        <v>146.14002652822907</v>
      </c>
    </row>
    <row r="102" spans="1:22" x14ac:dyDescent="0.3">
      <c r="A102">
        <v>2024</v>
      </c>
      <c r="B102" t="s">
        <v>35</v>
      </c>
      <c r="C102">
        <v>527</v>
      </c>
      <c r="D102" t="s">
        <v>10</v>
      </c>
      <c r="E102" s="1">
        <v>2</v>
      </c>
      <c r="F102" s="2" t="s">
        <v>11</v>
      </c>
      <c r="G102" s="2">
        <v>0</v>
      </c>
      <c r="H102" s="2">
        <f t="shared" si="6"/>
        <v>0</v>
      </c>
      <c r="I102" s="2">
        <v>0</v>
      </c>
      <c r="J102" s="2">
        <f t="shared" si="7"/>
        <v>0</v>
      </c>
      <c r="K102" s="1" t="s">
        <v>15</v>
      </c>
      <c r="L102">
        <v>23</v>
      </c>
      <c r="M102">
        <v>16</v>
      </c>
      <c r="N102">
        <v>262.3</v>
      </c>
      <c r="O102">
        <v>14.7</v>
      </c>
      <c r="P102">
        <f t="shared" si="8"/>
        <v>368</v>
      </c>
      <c r="Q102">
        <v>784.2</v>
      </c>
      <c r="R102">
        <v>122.6</v>
      </c>
      <c r="S102">
        <f t="shared" si="9"/>
        <v>906.80000000000007</v>
      </c>
      <c r="T102">
        <v>12</v>
      </c>
      <c r="U102" s="3">
        <f t="shared" si="10"/>
        <v>5241.5897174853399</v>
      </c>
      <c r="V102" s="3">
        <f t="shared" si="11"/>
        <v>146.14002652822907</v>
      </c>
    </row>
    <row r="103" spans="1:22" x14ac:dyDescent="0.3">
      <c r="A103">
        <v>2024</v>
      </c>
      <c r="B103" t="s">
        <v>35</v>
      </c>
      <c r="C103">
        <v>527</v>
      </c>
      <c r="D103" t="s">
        <v>10</v>
      </c>
      <c r="E103" s="1">
        <v>2</v>
      </c>
      <c r="F103" s="2" t="s">
        <v>11</v>
      </c>
      <c r="G103" s="2">
        <v>0</v>
      </c>
      <c r="H103" s="2">
        <f t="shared" si="6"/>
        <v>0</v>
      </c>
      <c r="I103" s="2">
        <v>0</v>
      </c>
      <c r="J103" s="2">
        <f t="shared" si="7"/>
        <v>0</v>
      </c>
      <c r="K103" s="1" t="s">
        <v>15</v>
      </c>
      <c r="L103">
        <v>23</v>
      </c>
      <c r="M103">
        <v>18</v>
      </c>
      <c r="N103">
        <v>262.3</v>
      </c>
      <c r="O103">
        <v>14.7</v>
      </c>
      <c r="P103">
        <f t="shared" si="8"/>
        <v>414</v>
      </c>
      <c r="Q103">
        <v>784.2</v>
      </c>
      <c r="R103">
        <v>122.6</v>
      </c>
      <c r="S103">
        <f t="shared" si="9"/>
        <v>906.80000000000007</v>
      </c>
      <c r="T103">
        <v>12</v>
      </c>
      <c r="U103" s="3">
        <f t="shared" si="10"/>
        <v>5241.5897174853399</v>
      </c>
      <c r="V103" s="3">
        <f t="shared" si="11"/>
        <v>146.14002652822907</v>
      </c>
    </row>
    <row r="104" spans="1:22" x14ac:dyDescent="0.3">
      <c r="A104">
        <v>2024</v>
      </c>
      <c r="B104" t="s">
        <v>35</v>
      </c>
      <c r="C104">
        <v>527</v>
      </c>
      <c r="D104" t="s">
        <v>10</v>
      </c>
      <c r="E104" s="1">
        <v>2</v>
      </c>
      <c r="F104" s="2" t="s">
        <v>11</v>
      </c>
      <c r="G104" s="2">
        <v>0</v>
      </c>
      <c r="H104" s="2">
        <f t="shared" si="6"/>
        <v>0</v>
      </c>
      <c r="I104" s="2">
        <v>0</v>
      </c>
      <c r="J104" s="2">
        <f t="shared" si="7"/>
        <v>0</v>
      </c>
      <c r="K104" s="1" t="s">
        <v>15</v>
      </c>
      <c r="L104">
        <v>22</v>
      </c>
      <c r="M104">
        <v>16</v>
      </c>
      <c r="N104">
        <v>262.3</v>
      </c>
      <c r="O104">
        <v>14.7</v>
      </c>
      <c r="P104">
        <f t="shared" si="8"/>
        <v>352</v>
      </c>
      <c r="Q104">
        <v>784.2</v>
      </c>
      <c r="R104">
        <v>122.6</v>
      </c>
      <c r="S104">
        <f t="shared" si="9"/>
        <v>906.80000000000007</v>
      </c>
      <c r="T104">
        <v>12</v>
      </c>
      <c r="U104" s="3">
        <f t="shared" si="10"/>
        <v>5241.5897174853399</v>
      </c>
      <c r="V104" s="3">
        <f t="shared" si="11"/>
        <v>146.14002652822907</v>
      </c>
    </row>
    <row r="105" spans="1:22" x14ac:dyDescent="0.3">
      <c r="A105">
        <v>2024</v>
      </c>
      <c r="B105" t="s">
        <v>35</v>
      </c>
      <c r="C105">
        <v>527</v>
      </c>
      <c r="D105" t="s">
        <v>10</v>
      </c>
      <c r="E105" s="1">
        <v>2</v>
      </c>
      <c r="F105" s="2" t="s">
        <v>11</v>
      </c>
      <c r="G105" s="2">
        <v>0</v>
      </c>
      <c r="H105" s="2">
        <f t="shared" si="6"/>
        <v>0</v>
      </c>
      <c r="I105" s="2">
        <v>0</v>
      </c>
      <c r="J105" s="2">
        <f t="shared" si="7"/>
        <v>0</v>
      </c>
      <c r="K105" s="1" t="s">
        <v>15</v>
      </c>
      <c r="L105">
        <v>15</v>
      </c>
      <c r="M105">
        <v>14</v>
      </c>
      <c r="N105">
        <v>262.3</v>
      </c>
      <c r="O105">
        <v>14.7</v>
      </c>
      <c r="P105">
        <f t="shared" si="8"/>
        <v>210</v>
      </c>
      <c r="Q105">
        <v>784.2</v>
      </c>
      <c r="R105">
        <v>122.6</v>
      </c>
      <c r="S105">
        <f t="shared" si="9"/>
        <v>906.80000000000007</v>
      </c>
      <c r="T105">
        <v>12</v>
      </c>
      <c r="U105" s="3">
        <f t="shared" si="10"/>
        <v>5241.5897174853399</v>
      </c>
      <c r="V105" s="3">
        <f t="shared" si="11"/>
        <v>146.14002652822907</v>
      </c>
    </row>
    <row r="106" spans="1:22" x14ac:dyDescent="0.3">
      <c r="A106">
        <v>2024</v>
      </c>
      <c r="B106" t="s">
        <v>35</v>
      </c>
      <c r="C106">
        <v>528</v>
      </c>
      <c r="D106" t="s">
        <v>10</v>
      </c>
      <c r="E106" s="1">
        <v>2</v>
      </c>
      <c r="F106" s="2" t="s">
        <v>12</v>
      </c>
      <c r="G106" s="2" t="s">
        <v>13</v>
      </c>
      <c r="H106" s="2">
        <f t="shared" si="6"/>
        <v>100</v>
      </c>
      <c r="I106" s="2">
        <v>175</v>
      </c>
      <c r="J106" s="2">
        <f t="shared" si="7"/>
        <v>275</v>
      </c>
      <c r="K106" s="1" t="s">
        <v>15</v>
      </c>
      <c r="L106">
        <v>25</v>
      </c>
      <c r="M106">
        <v>15</v>
      </c>
      <c r="N106">
        <v>318.39999999999998</v>
      </c>
      <c r="O106">
        <v>18.899999999999999</v>
      </c>
      <c r="P106">
        <f t="shared" si="8"/>
        <v>375</v>
      </c>
      <c r="Q106">
        <v>1775.5</v>
      </c>
      <c r="R106">
        <v>205.7</v>
      </c>
      <c r="S106">
        <f t="shared" si="9"/>
        <v>1981.2</v>
      </c>
      <c r="T106">
        <v>13</v>
      </c>
      <c r="U106" s="3">
        <f t="shared" si="10"/>
        <v>9230.2272384831722</v>
      </c>
      <c r="V106" s="3">
        <f t="shared" si="11"/>
        <v>257.34666889201941</v>
      </c>
    </row>
    <row r="107" spans="1:22" x14ac:dyDescent="0.3">
      <c r="A107">
        <v>2024</v>
      </c>
      <c r="B107" t="s">
        <v>35</v>
      </c>
      <c r="C107">
        <v>528</v>
      </c>
      <c r="D107" t="s">
        <v>10</v>
      </c>
      <c r="E107" s="1">
        <v>2</v>
      </c>
      <c r="F107" s="2" t="s">
        <v>12</v>
      </c>
      <c r="G107" s="2" t="s">
        <v>13</v>
      </c>
      <c r="H107" s="2">
        <f t="shared" si="6"/>
        <v>100</v>
      </c>
      <c r="I107" s="2">
        <v>175</v>
      </c>
      <c r="J107" s="2">
        <f t="shared" si="7"/>
        <v>275</v>
      </c>
      <c r="K107" s="1" t="s">
        <v>15</v>
      </c>
      <c r="L107">
        <v>38</v>
      </c>
      <c r="M107">
        <v>18</v>
      </c>
      <c r="N107">
        <v>318.39999999999998</v>
      </c>
      <c r="O107">
        <v>18.899999999999999</v>
      </c>
      <c r="P107">
        <f t="shared" si="8"/>
        <v>684</v>
      </c>
      <c r="Q107">
        <v>1775.5</v>
      </c>
      <c r="R107">
        <v>205.7</v>
      </c>
      <c r="S107">
        <f t="shared" si="9"/>
        <v>1981.2</v>
      </c>
      <c r="T107">
        <v>13</v>
      </c>
      <c r="U107" s="3">
        <f t="shared" si="10"/>
        <v>9230.2272384831722</v>
      </c>
      <c r="V107" s="3">
        <f t="shared" si="11"/>
        <v>257.34666889201941</v>
      </c>
    </row>
    <row r="108" spans="1:22" x14ac:dyDescent="0.3">
      <c r="A108">
        <v>2024</v>
      </c>
      <c r="B108" t="s">
        <v>35</v>
      </c>
      <c r="C108">
        <v>528</v>
      </c>
      <c r="D108" t="s">
        <v>10</v>
      </c>
      <c r="E108" s="1">
        <v>2</v>
      </c>
      <c r="F108" s="2" t="s">
        <v>12</v>
      </c>
      <c r="G108" s="2" t="s">
        <v>13</v>
      </c>
      <c r="H108" s="2">
        <f t="shared" si="6"/>
        <v>100</v>
      </c>
      <c r="I108" s="2">
        <v>175</v>
      </c>
      <c r="J108" s="2">
        <f t="shared" si="7"/>
        <v>275</v>
      </c>
      <c r="K108" s="1" t="s">
        <v>15</v>
      </c>
      <c r="L108">
        <v>17</v>
      </c>
      <c r="M108">
        <v>18</v>
      </c>
      <c r="N108">
        <v>318.39999999999998</v>
      </c>
      <c r="O108">
        <v>18.899999999999999</v>
      </c>
      <c r="P108">
        <f t="shared" si="8"/>
        <v>306</v>
      </c>
      <c r="Q108">
        <v>1775.5</v>
      </c>
      <c r="R108">
        <v>205.7</v>
      </c>
      <c r="S108">
        <f t="shared" si="9"/>
        <v>1981.2</v>
      </c>
      <c r="T108">
        <v>13</v>
      </c>
      <c r="U108" s="3">
        <f t="shared" si="10"/>
        <v>9230.2272384831722</v>
      </c>
      <c r="V108" s="3">
        <f t="shared" si="11"/>
        <v>257.34666889201941</v>
      </c>
    </row>
    <row r="109" spans="1:22" x14ac:dyDescent="0.3">
      <c r="A109">
        <v>2024</v>
      </c>
      <c r="B109" t="s">
        <v>35</v>
      </c>
      <c r="C109">
        <v>528</v>
      </c>
      <c r="D109" t="s">
        <v>10</v>
      </c>
      <c r="E109" s="1">
        <v>2</v>
      </c>
      <c r="F109" s="2" t="s">
        <v>12</v>
      </c>
      <c r="G109" s="2" t="s">
        <v>13</v>
      </c>
      <c r="H109" s="2">
        <f t="shared" si="6"/>
        <v>100</v>
      </c>
      <c r="I109" s="2">
        <v>175</v>
      </c>
      <c r="J109" s="2">
        <f t="shared" si="7"/>
        <v>275</v>
      </c>
      <c r="K109" s="1" t="s">
        <v>15</v>
      </c>
      <c r="L109">
        <v>17</v>
      </c>
      <c r="M109">
        <v>18</v>
      </c>
      <c r="N109">
        <v>318.39999999999998</v>
      </c>
      <c r="O109">
        <v>18.899999999999999</v>
      </c>
      <c r="P109">
        <f t="shared" si="8"/>
        <v>306</v>
      </c>
      <c r="Q109">
        <v>1775.5</v>
      </c>
      <c r="R109">
        <v>205.7</v>
      </c>
      <c r="S109">
        <f t="shared" si="9"/>
        <v>1981.2</v>
      </c>
      <c r="T109">
        <v>13</v>
      </c>
      <c r="U109" s="3">
        <f t="shared" si="10"/>
        <v>9230.2272384831722</v>
      </c>
      <c r="V109" s="3">
        <f t="shared" si="11"/>
        <v>257.34666889201941</v>
      </c>
    </row>
    <row r="110" spans="1:22" x14ac:dyDescent="0.3">
      <c r="A110">
        <v>2024</v>
      </c>
      <c r="B110" t="s">
        <v>35</v>
      </c>
      <c r="C110">
        <v>528</v>
      </c>
      <c r="D110" t="s">
        <v>10</v>
      </c>
      <c r="E110" s="1">
        <v>2</v>
      </c>
      <c r="F110" s="2" t="s">
        <v>12</v>
      </c>
      <c r="G110" s="2" t="s">
        <v>13</v>
      </c>
      <c r="H110" s="2">
        <f t="shared" si="6"/>
        <v>100</v>
      </c>
      <c r="I110" s="2">
        <v>175</v>
      </c>
      <c r="J110" s="2">
        <f t="shared" si="7"/>
        <v>275</v>
      </c>
      <c r="K110" s="1" t="s">
        <v>15</v>
      </c>
      <c r="L110">
        <v>23</v>
      </c>
      <c r="M110">
        <v>18</v>
      </c>
      <c r="N110">
        <v>318.39999999999998</v>
      </c>
      <c r="O110">
        <v>18.899999999999999</v>
      </c>
      <c r="P110">
        <f t="shared" si="8"/>
        <v>414</v>
      </c>
      <c r="Q110">
        <v>1775.5</v>
      </c>
      <c r="R110">
        <v>205.7</v>
      </c>
      <c r="S110">
        <f t="shared" si="9"/>
        <v>1981.2</v>
      </c>
      <c r="T110">
        <v>13</v>
      </c>
      <c r="U110" s="3">
        <f t="shared" si="10"/>
        <v>9230.2272384831722</v>
      </c>
      <c r="V110" s="3">
        <f t="shared" si="11"/>
        <v>257.34666889201941</v>
      </c>
    </row>
    <row r="111" spans="1:22" x14ac:dyDescent="0.3">
      <c r="A111">
        <v>2024</v>
      </c>
      <c r="B111" t="s">
        <v>35</v>
      </c>
      <c r="C111">
        <v>528</v>
      </c>
      <c r="D111" t="s">
        <v>10</v>
      </c>
      <c r="E111" s="1">
        <v>2</v>
      </c>
      <c r="F111" s="2" t="s">
        <v>12</v>
      </c>
      <c r="G111" s="2" t="s">
        <v>13</v>
      </c>
      <c r="H111" s="2">
        <f t="shared" si="6"/>
        <v>100</v>
      </c>
      <c r="I111" s="2">
        <v>175</v>
      </c>
      <c r="J111" s="2">
        <f t="shared" si="7"/>
        <v>275</v>
      </c>
      <c r="K111" s="1" t="s">
        <v>15</v>
      </c>
      <c r="L111">
        <v>18</v>
      </c>
      <c r="M111">
        <v>18</v>
      </c>
      <c r="N111">
        <v>318.39999999999998</v>
      </c>
      <c r="O111">
        <v>18.899999999999999</v>
      </c>
      <c r="P111">
        <f t="shared" si="8"/>
        <v>324</v>
      </c>
      <c r="Q111">
        <v>1775.5</v>
      </c>
      <c r="R111">
        <v>205.7</v>
      </c>
      <c r="S111">
        <f t="shared" si="9"/>
        <v>1981.2</v>
      </c>
      <c r="T111">
        <v>13</v>
      </c>
      <c r="U111" s="3">
        <f t="shared" si="10"/>
        <v>9230.2272384831722</v>
      </c>
      <c r="V111" s="3">
        <f t="shared" si="11"/>
        <v>257.34666889201941</v>
      </c>
    </row>
    <row r="112" spans="1:22" x14ac:dyDescent="0.3">
      <c r="A112">
        <v>2024</v>
      </c>
      <c r="B112" t="s">
        <v>35</v>
      </c>
      <c r="C112">
        <v>528</v>
      </c>
      <c r="D112" t="s">
        <v>10</v>
      </c>
      <c r="E112" s="1">
        <v>2</v>
      </c>
      <c r="F112" s="2" t="s">
        <v>12</v>
      </c>
      <c r="G112" s="2" t="s">
        <v>13</v>
      </c>
      <c r="H112" s="2">
        <f t="shared" si="6"/>
        <v>100</v>
      </c>
      <c r="I112" s="2">
        <v>175</v>
      </c>
      <c r="J112" s="2">
        <f t="shared" si="7"/>
        <v>275</v>
      </c>
      <c r="K112" s="1" t="s">
        <v>15</v>
      </c>
      <c r="L112">
        <v>27</v>
      </c>
      <c r="M112">
        <v>16</v>
      </c>
      <c r="N112">
        <v>318.39999999999998</v>
      </c>
      <c r="O112">
        <v>18.899999999999999</v>
      </c>
      <c r="P112">
        <f t="shared" si="8"/>
        <v>432</v>
      </c>
      <c r="Q112">
        <v>1775.5</v>
      </c>
      <c r="R112">
        <v>205.7</v>
      </c>
      <c r="S112">
        <f t="shared" si="9"/>
        <v>1981.2</v>
      </c>
      <c r="T112">
        <v>13</v>
      </c>
      <c r="U112" s="3">
        <f t="shared" si="10"/>
        <v>9230.2272384831722</v>
      </c>
      <c r="V112" s="3">
        <f t="shared" si="11"/>
        <v>257.34666889201941</v>
      </c>
    </row>
    <row r="113" spans="1:22" x14ac:dyDescent="0.3">
      <c r="A113">
        <v>2024</v>
      </c>
      <c r="B113" t="s">
        <v>35</v>
      </c>
      <c r="C113">
        <v>528</v>
      </c>
      <c r="D113" t="s">
        <v>10</v>
      </c>
      <c r="E113" s="1">
        <v>2</v>
      </c>
      <c r="F113" s="2" t="s">
        <v>12</v>
      </c>
      <c r="G113" s="2" t="s">
        <v>13</v>
      </c>
      <c r="H113" s="2">
        <f t="shared" si="6"/>
        <v>100</v>
      </c>
      <c r="I113" s="2">
        <v>175</v>
      </c>
      <c r="J113" s="2">
        <f t="shared" si="7"/>
        <v>275</v>
      </c>
      <c r="K113" s="1" t="s">
        <v>15</v>
      </c>
      <c r="L113">
        <v>29</v>
      </c>
      <c r="M113">
        <v>18</v>
      </c>
      <c r="N113">
        <v>318.39999999999998</v>
      </c>
      <c r="O113">
        <v>18.899999999999999</v>
      </c>
      <c r="P113">
        <f t="shared" si="8"/>
        <v>522</v>
      </c>
      <c r="Q113">
        <v>1775.5</v>
      </c>
      <c r="R113">
        <v>205.7</v>
      </c>
      <c r="S113">
        <f t="shared" si="9"/>
        <v>1981.2</v>
      </c>
      <c r="T113">
        <v>13</v>
      </c>
      <c r="U113" s="3">
        <f t="shared" si="10"/>
        <v>9230.2272384831722</v>
      </c>
      <c r="V113" s="3">
        <f t="shared" si="11"/>
        <v>257.34666889201941</v>
      </c>
    </row>
    <row r="114" spans="1:22" x14ac:dyDescent="0.3">
      <c r="A114">
        <v>2024</v>
      </c>
      <c r="B114" t="s">
        <v>35</v>
      </c>
      <c r="C114">
        <v>528</v>
      </c>
      <c r="D114" t="s">
        <v>10</v>
      </c>
      <c r="E114" s="1">
        <v>2</v>
      </c>
      <c r="F114" s="2" t="s">
        <v>12</v>
      </c>
      <c r="G114" s="2" t="s">
        <v>13</v>
      </c>
      <c r="H114" s="2">
        <f t="shared" si="6"/>
        <v>100</v>
      </c>
      <c r="I114" s="2">
        <v>175</v>
      </c>
      <c r="J114" s="2">
        <f t="shared" si="7"/>
        <v>275</v>
      </c>
      <c r="K114" s="1" t="s">
        <v>15</v>
      </c>
      <c r="L114">
        <v>36</v>
      </c>
      <c r="M114">
        <v>18</v>
      </c>
      <c r="N114">
        <v>318.39999999999998</v>
      </c>
      <c r="O114">
        <v>18.899999999999999</v>
      </c>
      <c r="P114">
        <f t="shared" si="8"/>
        <v>648</v>
      </c>
      <c r="Q114">
        <v>1775.5</v>
      </c>
      <c r="R114">
        <v>205.7</v>
      </c>
      <c r="S114">
        <f t="shared" si="9"/>
        <v>1981.2</v>
      </c>
      <c r="T114">
        <v>13</v>
      </c>
      <c r="U114" s="3">
        <f t="shared" si="10"/>
        <v>9230.2272384831722</v>
      </c>
      <c r="V114" s="3">
        <f t="shared" si="11"/>
        <v>257.34666889201941</v>
      </c>
    </row>
    <row r="115" spans="1:22" x14ac:dyDescent="0.3">
      <c r="A115">
        <v>2024</v>
      </c>
      <c r="B115" t="s">
        <v>35</v>
      </c>
      <c r="C115">
        <v>528</v>
      </c>
      <c r="D115" t="s">
        <v>10</v>
      </c>
      <c r="E115" s="1">
        <v>2</v>
      </c>
      <c r="F115" s="2" t="s">
        <v>12</v>
      </c>
      <c r="G115" s="2" t="s">
        <v>13</v>
      </c>
      <c r="H115" s="2">
        <f t="shared" si="6"/>
        <v>100</v>
      </c>
      <c r="I115" s="2">
        <v>175</v>
      </c>
      <c r="J115" s="2">
        <f t="shared" si="7"/>
        <v>275</v>
      </c>
      <c r="K115" s="1" t="s">
        <v>15</v>
      </c>
      <c r="L115">
        <v>27</v>
      </c>
      <c r="M115">
        <v>16</v>
      </c>
      <c r="N115">
        <v>318.39999999999998</v>
      </c>
      <c r="O115">
        <v>18.899999999999999</v>
      </c>
      <c r="P115">
        <f t="shared" si="8"/>
        <v>432</v>
      </c>
      <c r="Q115">
        <v>1775.5</v>
      </c>
      <c r="R115">
        <v>205.7</v>
      </c>
      <c r="S115">
        <f t="shared" si="9"/>
        <v>1981.2</v>
      </c>
      <c r="T115">
        <v>13</v>
      </c>
      <c r="U115" s="3">
        <f t="shared" si="10"/>
        <v>9230.2272384831722</v>
      </c>
      <c r="V115" s="3">
        <f t="shared" si="11"/>
        <v>257.34666889201941</v>
      </c>
    </row>
    <row r="116" spans="1:22" x14ac:dyDescent="0.3">
      <c r="A116">
        <v>2024</v>
      </c>
      <c r="B116" t="s">
        <v>35</v>
      </c>
      <c r="C116">
        <v>528</v>
      </c>
      <c r="D116" t="s">
        <v>10</v>
      </c>
      <c r="E116" s="1">
        <v>2</v>
      </c>
      <c r="F116" s="2" t="s">
        <v>12</v>
      </c>
      <c r="G116" s="2" t="s">
        <v>13</v>
      </c>
      <c r="H116" s="2">
        <f t="shared" si="6"/>
        <v>100</v>
      </c>
      <c r="I116" s="2">
        <v>175</v>
      </c>
      <c r="J116" s="2">
        <f t="shared" si="7"/>
        <v>275</v>
      </c>
      <c r="K116" s="1" t="s">
        <v>15</v>
      </c>
      <c r="L116">
        <v>26</v>
      </c>
      <c r="M116">
        <v>18</v>
      </c>
      <c r="N116">
        <v>318.39999999999998</v>
      </c>
      <c r="O116">
        <v>18.899999999999999</v>
      </c>
      <c r="P116">
        <f t="shared" si="8"/>
        <v>468</v>
      </c>
      <c r="Q116">
        <v>1775.5</v>
      </c>
      <c r="R116">
        <v>205.7</v>
      </c>
      <c r="S116">
        <f t="shared" si="9"/>
        <v>1981.2</v>
      </c>
      <c r="T116">
        <v>13</v>
      </c>
      <c r="U116" s="3">
        <f t="shared" si="10"/>
        <v>9230.2272384831722</v>
      </c>
      <c r="V116" s="3">
        <f t="shared" si="11"/>
        <v>257.34666889201941</v>
      </c>
    </row>
    <row r="117" spans="1:22" x14ac:dyDescent="0.3">
      <c r="A117">
        <v>2024</v>
      </c>
      <c r="B117" t="s">
        <v>35</v>
      </c>
      <c r="C117">
        <v>528</v>
      </c>
      <c r="D117" t="s">
        <v>10</v>
      </c>
      <c r="E117" s="1">
        <v>2</v>
      </c>
      <c r="F117" s="2" t="s">
        <v>12</v>
      </c>
      <c r="G117" s="2" t="s">
        <v>13</v>
      </c>
      <c r="H117" s="2">
        <f t="shared" si="6"/>
        <v>100</v>
      </c>
      <c r="I117" s="2">
        <v>175</v>
      </c>
      <c r="J117" s="2">
        <f t="shared" si="7"/>
        <v>275</v>
      </c>
      <c r="K117" s="1" t="s">
        <v>15</v>
      </c>
      <c r="L117">
        <v>31</v>
      </c>
      <c r="M117">
        <v>16</v>
      </c>
      <c r="N117">
        <v>318.39999999999998</v>
      </c>
      <c r="O117">
        <v>18.899999999999999</v>
      </c>
      <c r="P117">
        <f t="shared" si="8"/>
        <v>496</v>
      </c>
      <c r="Q117">
        <v>1775.5</v>
      </c>
      <c r="R117">
        <v>205.7</v>
      </c>
      <c r="S117">
        <f t="shared" si="9"/>
        <v>1981.2</v>
      </c>
      <c r="T117">
        <v>13</v>
      </c>
      <c r="U117" s="3">
        <f t="shared" si="10"/>
        <v>9230.2272384831722</v>
      </c>
      <c r="V117" s="3">
        <f t="shared" si="11"/>
        <v>257.34666889201941</v>
      </c>
    </row>
    <row r="118" spans="1:22" x14ac:dyDescent="0.3">
      <c r="A118">
        <v>2024</v>
      </c>
      <c r="B118" t="s">
        <v>35</v>
      </c>
      <c r="C118">
        <v>528</v>
      </c>
      <c r="D118" t="s">
        <v>10</v>
      </c>
      <c r="E118" s="1">
        <v>2</v>
      </c>
      <c r="F118" s="2" t="s">
        <v>12</v>
      </c>
      <c r="G118" s="2" t="s">
        <v>13</v>
      </c>
      <c r="H118" s="2">
        <f t="shared" si="6"/>
        <v>100</v>
      </c>
      <c r="I118" s="2">
        <v>175</v>
      </c>
      <c r="J118" s="2">
        <f t="shared" si="7"/>
        <v>275</v>
      </c>
      <c r="K118" s="1" t="s">
        <v>15</v>
      </c>
      <c r="L118">
        <v>39</v>
      </c>
      <c r="M118">
        <v>18</v>
      </c>
      <c r="N118">
        <v>318.39999999999998</v>
      </c>
      <c r="O118">
        <v>18.899999999999999</v>
      </c>
      <c r="P118">
        <f t="shared" si="8"/>
        <v>702</v>
      </c>
      <c r="Q118">
        <v>1775.5</v>
      </c>
      <c r="R118">
        <v>205.7</v>
      </c>
      <c r="S118">
        <f t="shared" si="9"/>
        <v>1981.2</v>
      </c>
      <c r="T118">
        <v>13</v>
      </c>
      <c r="U118" s="3">
        <f t="shared" si="10"/>
        <v>9230.2272384831722</v>
      </c>
      <c r="V118" s="3">
        <f t="shared" si="11"/>
        <v>257.34666889201941</v>
      </c>
    </row>
    <row r="119" spans="1:22" x14ac:dyDescent="0.3">
      <c r="A119">
        <v>2024</v>
      </c>
      <c r="B119" t="s">
        <v>35</v>
      </c>
      <c r="C119">
        <v>529</v>
      </c>
      <c r="D119" t="s">
        <v>10</v>
      </c>
      <c r="E119" s="1">
        <v>2</v>
      </c>
      <c r="F119" s="2" t="s">
        <v>12</v>
      </c>
      <c r="G119" s="2" t="s">
        <v>14</v>
      </c>
      <c r="H119" s="2">
        <f t="shared" si="6"/>
        <v>100</v>
      </c>
      <c r="I119" s="2">
        <v>236</v>
      </c>
      <c r="J119" s="2">
        <f t="shared" si="7"/>
        <v>336</v>
      </c>
      <c r="K119" s="1" t="s">
        <v>15</v>
      </c>
      <c r="L119">
        <v>36</v>
      </c>
      <c r="M119">
        <v>16</v>
      </c>
      <c r="N119">
        <v>289.39999999999998</v>
      </c>
      <c r="O119">
        <v>15.9</v>
      </c>
      <c r="P119">
        <f t="shared" si="8"/>
        <v>576</v>
      </c>
      <c r="Q119">
        <v>2068.8000000000002</v>
      </c>
      <c r="R119">
        <v>184.6</v>
      </c>
      <c r="S119">
        <f t="shared" si="9"/>
        <v>2253.4</v>
      </c>
      <c r="T119">
        <v>12</v>
      </c>
      <c r="U119" s="3">
        <f t="shared" si="10"/>
        <v>12784.239666651023</v>
      </c>
      <c r="V119" s="3">
        <f t="shared" si="11"/>
        <v>356.43559010260219</v>
      </c>
    </row>
    <row r="120" spans="1:22" x14ac:dyDescent="0.3">
      <c r="A120">
        <v>2024</v>
      </c>
      <c r="B120" t="s">
        <v>35</v>
      </c>
      <c r="C120">
        <v>529</v>
      </c>
      <c r="D120" t="s">
        <v>10</v>
      </c>
      <c r="E120" s="1">
        <v>2</v>
      </c>
      <c r="F120" s="2" t="s">
        <v>12</v>
      </c>
      <c r="G120" s="2" t="s">
        <v>14</v>
      </c>
      <c r="H120" s="2">
        <f t="shared" si="6"/>
        <v>100</v>
      </c>
      <c r="I120" s="2">
        <v>236</v>
      </c>
      <c r="J120" s="2">
        <f t="shared" si="7"/>
        <v>336</v>
      </c>
      <c r="K120" s="1" t="s">
        <v>15</v>
      </c>
      <c r="L120">
        <v>33</v>
      </c>
      <c r="M120">
        <v>20</v>
      </c>
      <c r="N120">
        <v>289.39999999999998</v>
      </c>
      <c r="O120">
        <v>15.9</v>
      </c>
      <c r="P120">
        <f t="shared" si="8"/>
        <v>660</v>
      </c>
      <c r="Q120">
        <v>2068.8000000000002</v>
      </c>
      <c r="R120">
        <v>184.6</v>
      </c>
      <c r="S120">
        <f t="shared" si="9"/>
        <v>2253.4</v>
      </c>
      <c r="T120">
        <v>12</v>
      </c>
      <c r="U120" s="3">
        <f t="shared" si="10"/>
        <v>12784.239666651023</v>
      </c>
      <c r="V120" s="3">
        <f t="shared" si="11"/>
        <v>356.43559010260219</v>
      </c>
    </row>
    <row r="121" spans="1:22" x14ac:dyDescent="0.3">
      <c r="A121">
        <v>2024</v>
      </c>
      <c r="B121" t="s">
        <v>35</v>
      </c>
      <c r="C121">
        <v>529</v>
      </c>
      <c r="D121" t="s">
        <v>10</v>
      </c>
      <c r="E121" s="1">
        <v>2</v>
      </c>
      <c r="F121" s="2" t="s">
        <v>12</v>
      </c>
      <c r="G121" s="2" t="s">
        <v>14</v>
      </c>
      <c r="H121" s="2">
        <f t="shared" si="6"/>
        <v>100</v>
      </c>
      <c r="I121" s="2">
        <v>236</v>
      </c>
      <c r="J121" s="2">
        <f t="shared" si="7"/>
        <v>336</v>
      </c>
      <c r="K121" s="1" t="s">
        <v>15</v>
      </c>
      <c r="L121">
        <v>32</v>
      </c>
      <c r="M121">
        <v>15</v>
      </c>
      <c r="N121">
        <v>289.39999999999998</v>
      </c>
      <c r="O121">
        <v>15.9</v>
      </c>
      <c r="P121">
        <f t="shared" si="8"/>
        <v>480</v>
      </c>
      <c r="Q121">
        <v>2068.8000000000002</v>
      </c>
      <c r="R121">
        <v>184.6</v>
      </c>
      <c r="S121">
        <f t="shared" si="9"/>
        <v>2253.4</v>
      </c>
      <c r="T121">
        <v>12</v>
      </c>
      <c r="U121" s="3">
        <f t="shared" si="10"/>
        <v>12784.239666651023</v>
      </c>
      <c r="V121" s="3">
        <f t="shared" si="11"/>
        <v>356.43559010260219</v>
      </c>
    </row>
    <row r="122" spans="1:22" x14ac:dyDescent="0.3">
      <c r="A122">
        <v>2024</v>
      </c>
      <c r="B122" t="s">
        <v>35</v>
      </c>
      <c r="C122">
        <v>529</v>
      </c>
      <c r="D122" t="s">
        <v>10</v>
      </c>
      <c r="E122" s="1">
        <v>2</v>
      </c>
      <c r="F122" s="2" t="s">
        <v>12</v>
      </c>
      <c r="G122" s="2" t="s">
        <v>14</v>
      </c>
      <c r="H122" s="2">
        <f t="shared" si="6"/>
        <v>100</v>
      </c>
      <c r="I122" s="2">
        <v>236</v>
      </c>
      <c r="J122" s="2">
        <f t="shared" si="7"/>
        <v>336</v>
      </c>
      <c r="K122" s="1" t="s">
        <v>15</v>
      </c>
      <c r="L122">
        <v>35</v>
      </c>
      <c r="M122">
        <v>20</v>
      </c>
      <c r="N122">
        <v>289.39999999999998</v>
      </c>
      <c r="O122">
        <v>15.9</v>
      </c>
      <c r="P122">
        <f t="shared" si="8"/>
        <v>700</v>
      </c>
      <c r="Q122">
        <v>2068.8000000000002</v>
      </c>
      <c r="R122">
        <v>184.6</v>
      </c>
      <c r="S122">
        <f t="shared" si="9"/>
        <v>2253.4</v>
      </c>
      <c r="T122">
        <v>12</v>
      </c>
      <c r="U122" s="3">
        <f t="shared" si="10"/>
        <v>12784.239666651023</v>
      </c>
      <c r="V122" s="3">
        <f t="shared" si="11"/>
        <v>356.43559010260219</v>
      </c>
    </row>
    <row r="123" spans="1:22" x14ac:dyDescent="0.3">
      <c r="A123">
        <v>2024</v>
      </c>
      <c r="B123" t="s">
        <v>35</v>
      </c>
      <c r="C123">
        <v>529</v>
      </c>
      <c r="D123" t="s">
        <v>10</v>
      </c>
      <c r="E123" s="1">
        <v>2</v>
      </c>
      <c r="F123" s="2" t="s">
        <v>12</v>
      </c>
      <c r="G123" s="2" t="s">
        <v>14</v>
      </c>
      <c r="H123" s="2">
        <f t="shared" si="6"/>
        <v>100</v>
      </c>
      <c r="I123" s="2">
        <v>236</v>
      </c>
      <c r="J123" s="2">
        <f t="shared" si="7"/>
        <v>336</v>
      </c>
      <c r="K123" s="1" t="s">
        <v>15</v>
      </c>
      <c r="L123">
        <v>29</v>
      </c>
      <c r="M123">
        <v>18</v>
      </c>
      <c r="N123">
        <v>289.39999999999998</v>
      </c>
      <c r="O123">
        <v>15.9</v>
      </c>
      <c r="P123">
        <f t="shared" si="8"/>
        <v>522</v>
      </c>
      <c r="Q123">
        <v>2068.8000000000002</v>
      </c>
      <c r="R123">
        <v>184.6</v>
      </c>
      <c r="S123">
        <f t="shared" si="9"/>
        <v>2253.4</v>
      </c>
      <c r="T123">
        <v>12</v>
      </c>
      <c r="U123" s="3">
        <f t="shared" si="10"/>
        <v>12784.239666651023</v>
      </c>
      <c r="V123" s="3">
        <f t="shared" si="11"/>
        <v>356.43559010260219</v>
      </c>
    </row>
    <row r="124" spans="1:22" x14ac:dyDescent="0.3">
      <c r="A124">
        <v>2024</v>
      </c>
      <c r="B124" t="s">
        <v>35</v>
      </c>
      <c r="C124">
        <v>529</v>
      </c>
      <c r="D124" t="s">
        <v>10</v>
      </c>
      <c r="E124" s="1">
        <v>2</v>
      </c>
      <c r="F124" s="2" t="s">
        <v>12</v>
      </c>
      <c r="G124" s="2" t="s">
        <v>14</v>
      </c>
      <c r="H124" s="2">
        <f t="shared" si="6"/>
        <v>100</v>
      </c>
      <c r="I124" s="2">
        <v>236</v>
      </c>
      <c r="J124" s="2">
        <f t="shared" si="7"/>
        <v>336</v>
      </c>
      <c r="K124" s="1" t="s">
        <v>15</v>
      </c>
      <c r="L124">
        <v>38</v>
      </c>
      <c r="M124">
        <v>18</v>
      </c>
      <c r="N124">
        <v>289.39999999999998</v>
      </c>
      <c r="O124">
        <v>15.9</v>
      </c>
      <c r="P124">
        <f t="shared" si="8"/>
        <v>684</v>
      </c>
      <c r="Q124">
        <v>2068.8000000000002</v>
      </c>
      <c r="R124">
        <v>184.6</v>
      </c>
      <c r="S124">
        <f t="shared" si="9"/>
        <v>2253.4</v>
      </c>
      <c r="T124">
        <v>12</v>
      </c>
      <c r="U124" s="3">
        <f t="shared" si="10"/>
        <v>12784.239666651023</v>
      </c>
      <c r="V124" s="3">
        <f t="shared" si="11"/>
        <v>356.43559010260219</v>
      </c>
    </row>
    <row r="125" spans="1:22" x14ac:dyDescent="0.3">
      <c r="A125">
        <v>2024</v>
      </c>
      <c r="B125" t="s">
        <v>35</v>
      </c>
      <c r="C125">
        <v>529</v>
      </c>
      <c r="D125" t="s">
        <v>10</v>
      </c>
      <c r="E125" s="1">
        <v>2</v>
      </c>
      <c r="F125" s="2" t="s">
        <v>12</v>
      </c>
      <c r="G125" s="2" t="s">
        <v>14</v>
      </c>
      <c r="H125" s="2">
        <f t="shared" si="6"/>
        <v>100</v>
      </c>
      <c r="I125" s="2">
        <v>236</v>
      </c>
      <c r="J125" s="2">
        <f t="shared" si="7"/>
        <v>336</v>
      </c>
      <c r="K125" s="1" t="s">
        <v>15</v>
      </c>
      <c r="L125">
        <v>35</v>
      </c>
      <c r="M125">
        <v>20</v>
      </c>
      <c r="N125">
        <v>289.39999999999998</v>
      </c>
      <c r="O125">
        <v>15.9</v>
      </c>
      <c r="P125">
        <f t="shared" si="8"/>
        <v>700</v>
      </c>
      <c r="Q125">
        <v>2068.8000000000002</v>
      </c>
      <c r="R125">
        <v>184.6</v>
      </c>
      <c r="S125">
        <f t="shared" si="9"/>
        <v>2253.4</v>
      </c>
      <c r="T125">
        <v>12</v>
      </c>
      <c r="U125" s="3">
        <f t="shared" si="10"/>
        <v>12784.239666651023</v>
      </c>
      <c r="V125" s="3">
        <f t="shared" si="11"/>
        <v>356.43559010260219</v>
      </c>
    </row>
    <row r="126" spans="1:22" x14ac:dyDescent="0.3">
      <c r="A126">
        <v>2024</v>
      </c>
      <c r="B126" t="s">
        <v>35</v>
      </c>
      <c r="C126">
        <v>529</v>
      </c>
      <c r="D126" t="s">
        <v>10</v>
      </c>
      <c r="E126" s="1">
        <v>2</v>
      </c>
      <c r="F126" s="2" t="s">
        <v>12</v>
      </c>
      <c r="G126" s="2" t="s">
        <v>14</v>
      </c>
      <c r="H126" s="2">
        <f t="shared" si="6"/>
        <v>100</v>
      </c>
      <c r="I126" s="2">
        <v>236</v>
      </c>
      <c r="J126" s="2">
        <f t="shared" si="7"/>
        <v>336</v>
      </c>
      <c r="K126" s="1" t="s">
        <v>15</v>
      </c>
      <c r="L126">
        <v>26</v>
      </c>
      <c r="M126">
        <v>18</v>
      </c>
      <c r="N126">
        <v>289.39999999999998</v>
      </c>
      <c r="O126">
        <v>15.9</v>
      </c>
      <c r="P126">
        <f t="shared" si="8"/>
        <v>468</v>
      </c>
      <c r="Q126">
        <v>2068.8000000000002</v>
      </c>
      <c r="R126">
        <v>184.6</v>
      </c>
      <c r="S126">
        <f t="shared" si="9"/>
        <v>2253.4</v>
      </c>
      <c r="T126">
        <v>12</v>
      </c>
      <c r="U126" s="3">
        <f t="shared" si="10"/>
        <v>12784.239666651023</v>
      </c>
      <c r="V126" s="3">
        <f t="shared" si="11"/>
        <v>356.43559010260219</v>
      </c>
    </row>
    <row r="127" spans="1:22" x14ac:dyDescent="0.3">
      <c r="A127">
        <v>2024</v>
      </c>
      <c r="B127" t="s">
        <v>35</v>
      </c>
      <c r="C127">
        <v>529</v>
      </c>
      <c r="D127" t="s">
        <v>10</v>
      </c>
      <c r="E127" s="1">
        <v>2</v>
      </c>
      <c r="F127" s="2" t="s">
        <v>12</v>
      </c>
      <c r="G127" s="2" t="s">
        <v>14</v>
      </c>
      <c r="H127" s="2">
        <f t="shared" si="6"/>
        <v>100</v>
      </c>
      <c r="I127" s="2">
        <v>236</v>
      </c>
      <c r="J127" s="2">
        <f t="shared" si="7"/>
        <v>336</v>
      </c>
      <c r="K127" s="1" t="s">
        <v>15</v>
      </c>
      <c r="L127">
        <v>34</v>
      </c>
      <c r="M127">
        <v>16</v>
      </c>
      <c r="N127">
        <v>289.39999999999998</v>
      </c>
      <c r="O127">
        <v>15.9</v>
      </c>
      <c r="P127">
        <f t="shared" si="8"/>
        <v>544</v>
      </c>
      <c r="Q127">
        <v>2068.8000000000002</v>
      </c>
      <c r="R127">
        <v>184.6</v>
      </c>
      <c r="S127">
        <f t="shared" si="9"/>
        <v>2253.4</v>
      </c>
      <c r="T127">
        <v>12</v>
      </c>
      <c r="U127" s="3">
        <f t="shared" si="10"/>
        <v>12784.239666651023</v>
      </c>
      <c r="V127" s="3">
        <f t="shared" si="11"/>
        <v>356.43559010260219</v>
      </c>
    </row>
    <row r="128" spans="1:22" x14ac:dyDescent="0.3">
      <c r="A128">
        <v>2024</v>
      </c>
      <c r="B128" t="s">
        <v>35</v>
      </c>
      <c r="C128">
        <v>529</v>
      </c>
      <c r="D128" t="s">
        <v>10</v>
      </c>
      <c r="E128" s="1">
        <v>2</v>
      </c>
      <c r="F128" s="2" t="s">
        <v>12</v>
      </c>
      <c r="G128" s="2" t="s">
        <v>14</v>
      </c>
      <c r="H128" s="2">
        <f t="shared" si="6"/>
        <v>100</v>
      </c>
      <c r="I128" s="2">
        <v>236</v>
      </c>
      <c r="J128" s="2">
        <f t="shared" si="7"/>
        <v>336</v>
      </c>
      <c r="K128" s="1" t="s">
        <v>15</v>
      </c>
      <c r="L128">
        <v>39</v>
      </c>
      <c r="M128">
        <v>18</v>
      </c>
      <c r="N128">
        <v>289.39999999999998</v>
      </c>
      <c r="O128">
        <v>15.9</v>
      </c>
      <c r="P128">
        <f t="shared" si="8"/>
        <v>702</v>
      </c>
      <c r="Q128">
        <v>2068.8000000000002</v>
      </c>
      <c r="R128">
        <v>184.6</v>
      </c>
      <c r="S128">
        <f t="shared" si="9"/>
        <v>2253.4</v>
      </c>
      <c r="T128">
        <v>12</v>
      </c>
      <c r="U128" s="3">
        <f t="shared" si="10"/>
        <v>12784.239666651023</v>
      </c>
      <c r="V128" s="3">
        <f t="shared" si="11"/>
        <v>356.43559010260219</v>
      </c>
    </row>
    <row r="129" spans="1:22" x14ac:dyDescent="0.3">
      <c r="A129">
        <v>2024</v>
      </c>
      <c r="B129" t="s">
        <v>35</v>
      </c>
      <c r="C129">
        <v>529</v>
      </c>
      <c r="D129" t="s">
        <v>10</v>
      </c>
      <c r="E129" s="1">
        <v>2</v>
      </c>
      <c r="F129" s="2" t="s">
        <v>12</v>
      </c>
      <c r="G129" s="2" t="s">
        <v>14</v>
      </c>
      <c r="H129" s="2">
        <f t="shared" si="6"/>
        <v>100</v>
      </c>
      <c r="I129" s="2">
        <v>236</v>
      </c>
      <c r="J129" s="2">
        <f t="shared" si="7"/>
        <v>336</v>
      </c>
      <c r="K129" s="1" t="s">
        <v>15</v>
      </c>
      <c r="L129">
        <v>36</v>
      </c>
      <c r="M129">
        <v>16</v>
      </c>
      <c r="N129">
        <v>289.39999999999998</v>
      </c>
      <c r="O129">
        <v>15.9</v>
      </c>
      <c r="P129">
        <f t="shared" si="8"/>
        <v>576</v>
      </c>
      <c r="Q129">
        <v>2068.8000000000002</v>
      </c>
      <c r="R129">
        <v>184.6</v>
      </c>
      <c r="S129">
        <f t="shared" si="9"/>
        <v>2253.4</v>
      </c>
      <c r="T129">
        <v>12</v>
      </c>
      <c r="U129" s="3">
        <f t="shared" si="10"/>
        <v>12784.239666651023</v>
      </c>
      <c r="V129" s="3">
        <f t="shared" si="11"/>
        <v>356.43559010260219</v>
      </c>
    </row>
    <row r="130" spans="1:22" x14ac:dyDescent="0.3">
      <c r="A130">
        <v>2024</v>
      </c>
      <c r="B130" t="s">
        <v>35</v>
      </c>
      <c r="C130">
        <v>530</v>
      </c>
      <c r="D130" t="s">
        <v>10</v>
      </c>
      <c r="E130" s="1">
        <v>2</v>
      </c>
      <c r="F130" s="2" t="s">
        <v>12</v>
      </c>
      <c r="G130" s="2">
        <v>0</v>
      </c>
      <c r="H130" s="2">
        <f t="shared" si="6"/>
        <v>0</v>
      </c>
      <c r="I130" s="2">
        <v>0</v>
      </c>
      <c r="J130" s="2">
        <f t="shared" si="7"/>
        <v>0</v>
      </c>
      <c r="K130" s="1" t="s">
        <v>15</v>
      </c>
      <c r="L130">
        <v>15</v>
      </c>
      <c r="M130">
        <v>17</v>
      </c>
      <c r="N130">
        <v>286.3</v>
      </c>
      <c r="O130">
        <v>19.100000000000001</v>
      </c>
      <c r="P130">
        <f t="shared" si="8"/>
        <v>255</v>
      </c>
      <c r="Q130">
        <v>1632.1</v>
      </c>
      <c r="R130">
        <v>192.6</v>
      </c>
      <c r="S130">
        <f t="shared" si="9"/>
        <v>1824.6999999999998</v>
      </c>
      <c r="T130">
        <v>12</v>
      </c>
      <c r="U130" s="3">
        <f t="shared" si="10"/>
        <v>8395.893443629815</v>
      </c>
      <c r="V130" s="3">
        <f t="shared" si="11"/>
        <v>234.08472557231917</v>
      </c>
    </row>
    <row r="131" spans="1:22" x14ac:dyDescent="0.3">
      <c r="A131">
        <v>2024</v>
      </c>
      <c r="B131" t="s">
        <v>35</v>
      </c>
      <c r="C131">
        <v>530</v>
      </c>
      <c r="D131" t="s">
        <v>10</v>
      </c>
      <c r="E131" s="1">
        <v>2</v>
      </c>
      <c r="F131" s="2" t="s">
        <v>12</v>
      </c>
      <c r="G131" s="2">
        <v>0</v>
      </c>
      <c r="H131" s="2">
        <f t="shared" ref="H131:H194" si="12">IF(OR(G131="VRN", G131="CFP"), 100, 0)</f>
        <v>0</v>
      </c>
      <c r="I131" s="2">
        <v>0</v>
      </c>
      <c r="J131" s="2">
        <f t="shared" ref="J131:J194" si="13">H131+I131</f>
        <v>0</v>
      </c>
      <c r="K131" s="1" t="s">
        <v>15</v>
      </c>
      <c r="L131">
        <v>31</v>
      </c>
      <c r="M131">
        <v>19</v>
      </c>
      <c r="N131">
        <v>286.3</v>
      </c>
      <c r="O131">
        <v>19.100000000000001</v>
      </c>
      <c r="P131">
        <f t="shared" ref="P131:P194" si="14">L131*M131</f>
        <v>589</v>
      </c>
      <c r="Q131">
        <v>1632.1</v>
      </c>
      <c r="R131">
        <v>192.6</v>
      </c>
      <c r="S131">
        <f t="shared" ref="S131:S194" si="15">Q131+R131</f>
        <v>1824.6999999999998</v>
      </c>
      <c r="T131">
        <v>12</v>
      </c>
      <c r="U131" s="3">
        <f t="shared" ref="U131:U194" si="16">((((Q131/1000)*10000)/1.577532)*15.5)/O131</f>
        <v>8395.893443629815</v>
      </c>
      <c r="V131" s="3">
        <f t="shared" ref="V131:V194" si="17">U131/35.8669</f>
        <v>234.08472557231917</v>
      </c>
    </row>
    <row r="132" spans="1:22" x14ac:dyDescent="0.3">
      <c r="A132">
        <v>2024</v>
      </c>
      <c r="B132" t="s">
        <v>35</v>
      </c>
      <c r="C132">
        <v>530</v>
      </c>
      <c r="D132" t="s">
        <v>10</v>
      </c>
      <c r="E132" s="1">
        <v>2</v>
      </c>
      <c r="F132" s="2" t="s">
        <v>12</v>
      </c>
      <c r="G132" s="2">
        <v>0</v>
      </c>
      <c r="H132" s="2">
        <f t="shared" si="12"/>
        <v>0</v>
      </c>
      <c r="I132" s="2">
        <v>0</v>
      </c>
      <c r="J132" s="2">
        <f t="shared" si="13"/>
        <v>0</v>
      </c>
      <c r="K132" s="1" t="s">
        <v>15</v>
      </c>
      <c r="L132">
        <v>36</v>
      </c>
      <c r="M132">
        <v>18</v>
      </c>
      <c r="N132">
        <v>286.3</v>
      </c>
      <c r="O132">
        <v>19.100000000000001</v>
      </c>
      <c r="P132">
        <f t="shared" si="14"/>
        <v>648</v>
      </c>
      <c r="Q132">
        <v>1632.1</v>
      </c>
      <c r="R132">
        <v>192.6</v>
      </c>
      <c r="S132">
        <f t="shared" si="15"/>
        <v>1824.6999999999998</v>
      </c>
      <c r="T132">
        <v>12</v>
      </c>
      <c r="U132" s="3">
        <f t="shared" si="16"/>
        <v>8395.893443629815</v>
      </c>
      <c r="V132" s="3">
        <f t="shared" si="17"/>
        <v>234.08472557231917</v>
      </c>
    </row>
    <row r="133" spans="1:22" x14ac:dyDescent="0.3">
      <c r="A133">
        <v>2024</v>
      </c>
      <c r="B133" t="s">
        <v>35</v>
      </c>
      <c r="C133">
        <v>530</v>
      </c>
      <c r="D133" t="s">
        <v>10</v>
      </c>
      <c r="E133" s="1">
        <v>2</v>
      </c>
      <c r="F133" s="2" t="s">
        <v>12</v>
      </c>
      <c r="G133" s="2">
        <v>0</v>
      </c>
      <c r="H133" s="2">
        <f t="shared" si="12"/>
        <v>0</v>
      </c>
      <c r="I133" s="2">
        <v>0</v>
      </c>
      <c r="J133" s="2">
        <f t="shared" si="13"/>
        <v>0</v>
      </c>
      <c r="K133" s="1" t="s">
        <v>15</v>
      </c>
      <c r="L133">
        <v>26</v>
      </c>
      <c r="M133">
        <v>18</v>
      </c>
      <c r="N133">
        <v>286.3</v>
      </c>
      <c r="O133">
        <v>19.100000000000001</v>
      </c>
      <c r="P133">
        <f t="shared" si="14"/>
        <v>468</v>
      </c>
      <c r="Q133">
        <v>1632.1</v>
      </c>
      <c r="R133">
        <v>192.6</v>
      </c>
      <c r="S133">
        <f t="shared" si="15"/>
        <v>1824.6999999999998</v>
      </c>
      <c r="T133">
        <v>12</v>
      </c>
      <c r="U133" s="3">
        <f t="shared" si="16"/>
        <v>8395.893443629815</v>
      </c>
      <c r="V133" s="3">
        <f t="shared" si="17"/>
        <v>234.08472557231917</v>
      </c>
    </row>
    <row r="134" spans="1:22" x14ac:dyDescent="0.3">
      <c r="A134">
        <v>2024</v>
      </c>
      <c r="B134" t="s">
        <v>35</v>
      </c>
      <c r="C134">
        <v>530</v>
      </c>
      <c r="D134" t="s">
        <v>10</v>
      </c>
      <c r="E134" s="1">
        <v>2</v>
      </c>
      <c r="F134" s="2" t="s">
        <v>12</v>
      </c>
      <c r="G134" s="2">
        <v>0</v>
      </c>
      <c r="H134" s="2">
        <f t="shared" si="12"/>
        <v>0</v>
      </c>
      <c r="I134" s="2">
        <v>0</v>
      </c>
      <c r="J134" s="2">
        <f t="shared" si="13"/>
        <v>0</v>
      </c>
      <c r="K134" s="1" t="s">
        <v>15</v>
      </c>
      <c r="L134">
        <v>27</v>
      </c>
      <c r="M134">
        <v>16</v>
      </c>
      <c r="N134">
        <v>286.3</v>
      </c>
      <c r="O134">
        <v>19.100000000000001</v>
      </c>
      <c r="P134">
        <f t="shared" si="14"/>
        <v>432</v>
      </c>
      <c r="Q134">
        <v>1632.1</v>
      </c>
      <c r="R134">
        <v>192.6</v>
      </c>
      <c r="S134">
        <f t="shared" si="15"/>
        <v>1824.6999999999998</v>
      </c>
      <c r="T134">
        <v>12</v>
      </c>
      <c r="U134" s="3">
        <f t="shared" si="16"/>
        <v>8395.893443629815</v>
      </c>
      <c r="V134" s="3">
        <f t="shared" si="17"/>
        <v>234.08472557231917</v>
      </c>
    </row>
    <row r="135" spans="1:22" x14ac:dyDescent="0.3">
      <c r="A135">
        <v>2024</v>
      </c>
      <c r="B135" t="s">
        <v>35</v>
      </c>
      <c r="C135">
        <v>530</v>
      </c>
      <c r="D135" t="s">
        <v>10</v>
      </c>
      <c r="E135" s="1">
        <v>2</v>
      </c>
      <c r="F135" s="2" t="s">
        <v>12</v>
      </c>
      <c r="G135" s="2">
        <v>0</v>
      </c>
      <c r="H135" s="2">
        <f t="shared" si="12"/>
        <v>0</v>
      </c>
      <c r="I135" s="2">
        <v>0</v>
      </c>
      <c r="J135" s="2">
        <f t="shared" si="13"/>
        <v>0</v>
      </c>
      <c r="K135" s="1" t="s">
        <v>15</v>
      </c>
      <c r="L135">
        <v>20</v>
      </c>
      <c r="M135">
        <v>20</v>
      </c>
      <c r="N135">
        <v>286.3</v>
      </c>
      <c r="O135">
        <v>19.100000000000001</v>
      </c>
      <c r="P135">
        <f t="shared" si="14"/>
        <v>400</v>
      </c>
      <c r="Q135">
        <v>1632.1</v>
      </c>
      <c r="R135">
        <v>192.6</v>
      </c>
      <c r="S135">
        <f t="shared" si="15"/>
        <v>1824.6999999999998</v>
      </c>
      <c r="T135">
        <v>12</v>
      </c>
      <c r="U135" s="3">
        <f t="shared" si="16"/>
        <v>8395.893443629815</v>
      </c>
      <c r="V135" s="3">
        <f t="shared" si="17"/>
        <v>234.08472557231917</v>
      </c>
    </row>
    <row r="136" spans="1:22" x14ac:dyDescent="0.3">
      <c r="A136">
        <v>2024</v>
      </c>
      <c r="B136" t="s">
        <v>35</v>
      </c>
      <c r="C136">
        <v>530</v>
      </c>
      <c r="D136" t="s">
        <v>10</v>
      </c>
      <c r="E136" s="1">
        <v>2</v>
      </c>
      <c r="F136" s="2" t="s">
        <v>12</v>
      </c>
      <c r="G136" s="2">
        <v>0</v>
      </c>
      <c r="H136" s="2">
        <f t="shared" si="12"/>
        <v>0</v>
      </c>
      <c r="I136" s="2">
        <v>0</v>
      </c>
      <c r="J136" s="2">
        <f t="shared" si="13"/>
        <v>0</v>
      </c>
      <c r="K136" s="1" t="s">
        <v>15</v>
      </c>
      <c r="L136">
        <v>26</v>
      </c>
      <c r="M136">
        <v>16</v>
      </c>
      <c r="N136">
        <v>286.3</v>
      </c>
      <c r="O136">
        <v>19.100000000000001</v>
      </c>
      <c r="P136">
        <f t="shared" si="14"/>
        <v>416</v>
      </c>
      <c r="Q136">
        <v>1632.1</v>
      </c>
      <c r="R136">
        <v>192.6</v>
      </c>
      <c r="S136">
        <f t="shared" si="15"/>
        <v>1824.6999999999998</v>
      </c>
      <c r="T136">
        <v>12</v>
      </c>
      <c r="U136" s="3">
        <f t="shared" si="16"/>
        <v>8395.893443629815</v>
      </c>
      <c r="V136" s="3">
        <f t="shared" si="17"/>
        <v>234.08472557231917</v>
      </c>
    </row>
    <row r="137" spans="1:22" x14ac:dyDescent="0.3">
      <c r="A137">
        <v>2024</v>
      </c>
      <c r="B137" t="s">
        <v>35</v>
      </c>
      <c r="C137">
        <v>530</v>
      </c>
      <c r="D137" t="s">
        <v>10</v>
      </c>
      <c r="E137" s="1">
        <v>2</v>
      </c>
      <c r="F137" s="2" t="s">
        <v>12</v>
      </c>
      <c r="G137" s="2">
        <v>0</v>
      </c>
      <c r="H137" s="2">
        <f t="shared" si="12"/>
        <v>0</v>
      </c>
      <c r="I137" s="2">
        <v>0</v>
      </c>
      <c r="J137" s="2">
        <f t="shared" si="13"/>
        <v>0</v>
      </c>
      <c r="K137" s="1" t="s">
        <v>15</v>
      </c>
      <c r="L137">
        <v>34</v>
      </c>
      <c r="M137">
        <v>18</v>
      </c>
      <c r="N137">
        <v>286.3</v>
      </c>
      <c r="O137">
        <v>19.100000000000001</v>
      </c>
      <c r="P137">
        <f t="shared" si="14"/>
        <v>612</v>
      </c>
      <c r="Q137">
        <v>1632.1</v>
      </c>
      <c r="R137">
        <v>192.6</v>
      </c>
      <c r="S137">
        <f t="shared" si="15"/>
        <v>1824.6999999999998</v>
      </c>
      <c r="T137">
        <v>12</v>
      </c>
      <c r="U137" s="3">
        <f t="shared" si="16"/>
        <v>8395.893443629815</v>
      </c>
      <c r="V137" s="3">
        <f t="shared" si="17"/>
        <v>234.08472557231917</v>
      </c>
    </row>
    <row r="138" spans="1:22" x14ac:dyDescent="0.3">
      <c r="A138">
        <v>2024</v>
      </c>
      <c r="B138" t="s">
        <v>35</v>
      </c>
      <c r="C138">
        <v>530</v>
      </c>
      <c r="D138" t="s">
        <v>10</v>
      </c>
      <c r="E138" s="1">
        <v>2</v>
      </c>
      <c r="F138" s="2" t="s">
        <v>12</v>
      </c>
      <c r="G138" s="2">
        <v>0</v>
      </c>
      <c r="H138" s="2">
        <f t="shared" si="12"/>
        <v>0</v>
      </c>
      <c r="I138" s="2">
        <v>0</v>
      </c>
      <c r="J138" s="2">
        <f t="shared" si="13"/>
        <v>0</v>
      </c>
      <c r="K138" s="1" t="s">
        <v>15</v>
      </c>
      <c r="L138">
        <v>23</v>
      </c>
      <c r="M138">
        <v>16</v>
      </c>
      <c r="N138">
        <v>286.3</v>
      </c>
      <c r="O138">
        <v>19.100000000000001</v>
      </c>
      <c r="P138">
        <f t="shared" si="14"/>
        <v>368</v>
      </c>
      <c r="Q138">
        <v>1632.1</v>
      </c>
      <c r="R138">
        <v>192.6</v>
      </c>
      <c r="S138">
        <f t="shared" si="15"/>
        <v>1824.6999999999998</v>
      </c>
      <c r="T138">
        <v>12</v>
      </c>
      <c r="U138" s="3">
        <f t="shared" si="16"/>
        <v>8395.893443629815</v>
      </c>
      <c r="V138" s="3">
        <f t="shared" si="17"/>
        <v>234.08472557231917</v>
      </c>
    </row>
    <row r="139" spans="1:22" x14ac:dyDescent="0.3">
      <c r="A139">
        <v>2024</v>
      </c>
      <c r="B139" t="s">
        <v>35</v>
      </c>
      <c r="C139">
        <v>530</v>
      </c>
      <c r="D139" t="s">
        <v>10</v>
      </c>
      <c r="E139" s="1">
        <v>2</v>
      </c>
      <c r="F139" s="2" t="s">
        <v>12</v>
      </c>
      <c r="G139" s="2">
        <v>0</v>
      </c>
      <c r="H139" s="2">
        <f t="shared" si="12"/>
        <v>0</v>
      </c>
      <c r="I139" s="2">
        <v>0</v>
      </c>
      <c r="J139" s="2">
        <f t="shared" si="13"/>
        <v>0</v>
      </c>
      <c r="K139" s="1" t="s">
        <v>15</v>
      </c>
      <c r="L139">
        <v>22</v>
      </c>
      <c r="M139">
        <v>14</v>
      </c>
      <c r="N139">
        <v>286.3</v>
      </c>
      <c r="O139">
        <v>19.100000000000001</v>
      </c>
      <c r="P139">
        <f t="shared" si="14"/>
        <v>308</v>
      </c>
      <c r="Q139">
        <v>1632.1</v>
      </c>
      <c r="R139">
        <v>192.6</v>
      </c>
      <c r="S139">
        <f t="shared" si="15"/>
        <v>1824.6999999999998</v>
      </c>
      <c r="T139">
        <v>12</v>
      </c>
      <c r="U139" s="3">
        <f t="shared" si="16"/>
        <v>8395.893443629815</v>
      </c>
      <c r="V139" s="3">
        <f t="shared" si="17"/>
        <v>234.08472557231917</v>
      </c>
    </row>
    <row r="140" spans="1:22" x14ac:dyDescent="0.3">
      <c r="A140">
        <v>2024</v>
      </c>
      <c r="B140" t="s">
        <v>35</v>
      </c>
      <c r="C140">
        <v>530</v>
      </c>
      <c r="D140" t="s">
        <v>10</v>
      </c>
      <c r="E140" s="1">
        <v>2</v>
      </c>
      <c r="F140" s="2" t="s">
        <v>12</v>
      </c>
      <c r="G140" s="2">
        <v>0</v>
      </c>
      <c r="H140" s="2">
        <f t="shared" si="12"/>
        <v>0</v>
      </c>
      <c r="I140" s="2">
        <v>0</v>
      </c>
      <c r="J140" s="2">
        <f t="shared" si="13"/>
        <v>0</v>
      </c>
      <c r="K140" s="1" t="s">
        <v>15</v>
      </c>
      <c r="L140">
        <v>27</v>
      </c>
      <c r="M140">
        <v>20</v>
      </c>
      <c r="N140">
        <v>286.3</v>
      </c>
      <c r="O140">
        <v>19.100000000000001</v>
      </c>
      <c r="P140">
        <f t="shared" si="14"/>
        <v>540</v>
      </c>
      <c r="Q140">
        <v>1632.1</v>
      </c>
      <c r="R140">
        <v>192.6</v>
      </c>
      <c r="S140">
        <f t="shared" si="15"/>
        <v>1824.6999999999998</v>
      </c>
      <c r="T140">
        <v>12</v>
      </c>
      <c r="U140" s="3">
        <f t="shared" si="16"/>
        <v>8395.893443629815</v>
      </c>
      <c r="V140" s="3">
        <f t="shared" si="17"/>
        <v>234.08472557231917</v>
      </c>
    </row>
    <row r="141" spans="1:22" x14ac:dyDescent="0.3">
      <c r="A141">
        <v>2024</v>
      </c>
      <c r="B141" t="s">
        <v>35</v>
      </c>
      <c r="C141">
        <v>530</v>
      </c>
      <c r="D141" t="s">
        <v>10</v>
      </c>
      <c r="E141" s="1">
        <v>2</v>
      </c>
      <c r="F141" s="2" t="s">
        <v>12</v>
      </c>
      <c r="G141" s="2">
        <v>0</v>
      </c>
      <c r="H141" s="2">
        <f t="shared" si="12"/>
        <v>0</v>
      </c>
      <c r="I141" s="2">
        <v>0</v>
      </c>
      <c r="J141" s="2">
        <f t="shared" si="13"/>
        <v>0</v>
      </c>
      <c r="K141" s="1" t="s">
        <v>15</v>
      </c>
      <c r="L141">
        <v>32</v>
      </c>
      <c r="M141">
        <v>18</v>
      </c>
      <c r="N141">
        <v>286.3</v>
      </c>
      <c r="O141">
        <v>19.100000000000001</v>
      </c>
      <c r="P141">
        <f t="shared" si="14"/>
        <v>576</v>
      </c>
      <c r="Q141">
        <v>1632.1</v>
      </c>
      <c r="R141">
        <v>192.6</v>
      </c>
      <c r="S141">
        <f t="shared" si="15"/>
        <v>1824.6999999999998</v>
      </c>
      <c r="T141">
        <v>12</v>
      </c>
      <c r="U141" s="3">
        <f t="shared" si="16"/>
        <v>8395.893443629815</v>
      </c>
      <c r="V141" s="3">
        <f t="shared" si="17"/>
        <v>234.08472557231917</v>
      </c>
    </row>
    <row r="142" spans="1:22" x14ac:dyDescent="0.3">
      <c r="A142">
        <v>2024</v>
      </c>
      <c r="B142" t="s">
        <v>35</v>
      </c>
      <c r="C142">
        <v>543</v>
      </c>
      <c r="D142" t="s">
        <v>10</v>
      </c>
      <c r="E142" s="1">
        <v>3</v>
      </c>
      <c r="F142" s="2" t="s">
        <v>12</v>
      </c>
      <c r="G142" s="2" t="s">
        <v>14</v>
      </c>
      <c r="H142" s="2">
        <f t="shared" si="12"/>
        <v>100</v>
      </c>
      <c r="I142" s="2">
        <v>236</v>
      </c>
      <c r="J142" s="2">
        <f t="shared" si="13"/>
        <v>336</v>
      </c>
      <c r="K142" s="1" t="s">
        <v>15</v>
      </c>
      <c r="L142">
        <v>32</v>
      </c>
      <c r="M142">
        <v>18</v>
      </c>
      <c r="N142">
        <v>268.8</v>
      </c>
      <c r="O142">
        <v>16.5</v>
      </c>
      <c r="P142">
        <f t="shared" si="14"/>
        <v>576</v>
      </c>
      <c r="Q142">
        <v>1991.2</v>
      </c>
      <c r="R142">
        <v>182.5</v>
      </c>
      <c r="S142">
        <f t="shared" si="15"/>
        <v>2173.6999999999998</v>
      </c>
      <c r="T142">
        <v>12</v>
      </c>
      <c r="U142" s="3">
        <f t="shared" si="16"/>
        <v>11857.263194161591</v>
      </c>
      <c r="V142" s="3">
        <f t="shared" si="17"/>
        <v>330.59068930299497</v>
      </c>
    </row>
    <row r="143" spans="1:22" x14ac:dyDescent="0.3">
      <c r="A143">
        <v>2024</v>
      </c>
      <c r="B143" t="s">
        <v>35</v>
      </c>
      <c r="C143">
        <v>543</v>
      </c>
      <c r="D143" t="s">
        <v>10</v>
      </c>
      <c r="E143" s="1">
        <v>3</v>
      </c>
      <c r="F143" s="2" t="s">
        <v>12</v>
      </c>
      <c r="G143" s="2" t="s">
        <v>14</v>
      </c>
      <c r="H143" s="2">
        <f t="shared" si="12"/>
        <v>100</v>
      </c>
      <c r="I143" s="2">
        <v>236</v>
      </c>
      <c r="J143" s="2">
        <f t="shared" si="13"/>
        <v>336</v>
      </c>
      <c r="K143" s="1" t="s">
        <v>15</v>
      </c>
      <c r="L143">
        <v>32</v>
      </c>
      <c r="M143">
        <v>18</v>
      </c>
      <c r="N143">
        <v>268.8</v>
      </c>
      <c r="O143">
        <v>16.5</v>
      </c>
      <c r="P143">
        <f t="shared" si="14"/>
        <v>576</v>
      </c>
      <c r="Q143">
        <v>1991.2</v>
      </c>
      <c r="R143">
        <v>182.5</v>
      </c>
      <c r="S143">
        <f t="shared" si="15"/>
        <v>2173.6999999999998</v>
      </c>
      <c r="T143">
        <v>12</v>
      </c>
      <c r="U143" s="3">
        <f t="shared" si="16"/>
        <v>11857.263194161591</v>
      </c>
      <c r="V143" s="3">
        <f t="shared" si="17"/>
        <v>330.59068930299497</v>
      </c>
    </row>
    <row r="144" spans="1:22" x14ac:dyDescent="0.3">
      <c r="A144">
        <v>2024</v>
      </c>
      <c r="B144" t="s">
        <v>35</v>
      </c>
      <c r="C144">
        <v>543</v>
      </c>
      <c r="D144" t="s">
        <v>10</v>
      </c>
      <c r="E144" s="1">
        <v>3</v>
      </c>
      <c r="F144" s="2" t="s">
        <v>12</v>
      </c>
      <c r="G144" s="2" t="s">
        <v>14</v>
      </c>
      <c r="H144" s="2">
        <f t="shared" si="12"/>
        <v>100</v>
      </c>
      <c r="I144" s="2">
        <v>236</v>
      </c>
      <c r="J144" s="2">
        <f t="shared" si="13"/>
        <v>336</v>
      </c>
      <c r="K144" s="1" t="s">
        <v>15</v>
      </c>
      <c r="L144">
        <v>27</v>
      </c>
      <c r="M144">
        <v>16</v>
      </c>
      <c r="N144">
        <v>268.8</v>
      </c>
      <c r="O144">
        <v>16.5</v>
      </c>
      <c r="P144">
        <f t="shared" si="14"/>
        <v>432</v>
      </c>
      <c r="Q144">
        <v>1991.2</v>
      </c>
      <c r="R144">
        <v>182.5</v>
      </c>
      <c r="S144">
        <f t="shared" si="15"/>
        <v>2173.6999999999998</v>
      </c>
      <c r="T144">
        <v>12</v>
      </c>
      <c r="U144" s="3">
        <f t="shared" si="16"/>
        <v>11857.263194161591</v>
      </c>
      <c r="V144" s="3">
        <f t="shared" si="17"/>
        <v>330.59068930299497</v>
      </c>
    </row>
    <row r="145" spans="1:22" x14ac:dyDescent="0.3">
      <c r="A145">
        <v>2024</v>
      </c>
      <c r="B145" t="s">
        <v>35</v>
      </c>
      <c r="C145">
        <v>543</v>
      </c>
      <c r="D145" t="s">
        <v>10</v>
      </c>
      <c r="E145" s="1">
        <v>3</v>
      </c>
      <c r="F145" s="2" t="s">
        <v>12</v>
      </c>
      <c r="G145" s="2" t="s">
        <v>14</v>
      </c>
      <c r="H145" s="2">
        <f t="shared" si="12"/>
        <v>100</v>
      </c>
      <c r="I145" s="2">
        <v>236</v>
      </c>
      <c r="J145" s="2">
        <f t="shared" si="13"/>
        <v>336</v>
      </c>
      <c r="K145" s="1" t="s">
        <v>15</v>
      </c>
      <c r="L145">
        <v>37</v>
      </c>
      <c r="M145">
        <v>18</v>
      </c>
      <c r="N145">
        <v>268.8</v>
      </c>
      <c r="O145">
        <v>16.5</v>
      </c>
      <c r="P145">
        <f t="shared" si="14"/>
        <v>666</v>
      </c>
      <c r="Q145">
        <v>1991.2</v>
      </c>
      <c r="R145">
        <v>182.5</v>
      </c>
      <c r="S145">
        <f t="shared" si="15"/>
        <v>2173.6999999999998</v>
      </c>
      <c r="T145">
        <v>12</v>
      </c>
      <c r="U145" s="3">
        <f t="shared" si="16"/>
        <v>11857.263194161591</v>
      </c>
      <c r="V145" s="3">
        <f t="shared" si="17"/>
        <v>330.59068930299497</v>
      </c>
    </row>
    <row r="146" spans="1:22" x14ac:dyDescent="0.3">
      <c r="A146">
        <v>2024</v>
      </c>
      <c r="B146" t="s">
        <v>35</v>
      </c>
      <c r="C146">
        <v>543</v>
      </c>
      <c r="D146" t="s">
        <v>10</v>
      </c>
      <c r="E146" s="1">
        <v>3</v>
      </c>
      <c r="F146" s="2" t="s">
        <v>12</v>
      </c>
      <c r="G146" s="2" t="s">
        <v>14</v>
      </c>
      <c r="H146" s="2">
        <f t="shared" si="12"/>
        <v>100</v>
      </c>
      <c r="I146" s="2">
        <v>236</v>
      </c>
      <c r="J146" s="2">
        <f t="shared" si="13"/>
        <v>336</v>
      </c>
      <c r="K146" s="1" t="s">
        <v>15</v>
      </c>
      <c r="L146">
        <v>31</v>
      </c>
      <c r="M146">
        <v>19</v>
      </c>
      <c r="N146">
        <v>268.8</v>
      </c>
      <c r="O146">
        <v>16.5</v>
      </c>
      <c r="P146">
        <f t="shared" si="14"/>
        <v>589</v>
      </c>
      <c r="Q146">
        <v>1991.2</v>
      </c>
      <c r="R146">
        <v>182.5</v>
      </c>
      <c r="S146">
        <f t="shared" si="15"/>
        <v>2173.6999999999998</v>
      </c>
      <c r="T146">
        <v>12</v>
      </c>
      <c r="U146" s="3">
        <f t="shared" si="16"/>
        <v>11857.263194161591</v>
      </c>
      <c r="V146" s="3">
        <f t="shared" si="17"/>
        <v>330.59068930299497</v>
      </c>
    </row>
    <row r="147" spans="1:22" x14ac:dyDescent="0.3">
      <c r="A147">
        <v>2024</v>
      </c>
      <c r="B147" t="s">
        <v>35</v>
      </c>
      <c r="C147">
        <v>543</v>
      </c>
      <c r="D147" t="s">
        <v>10</v>
      </c>
      <c r="E147" s="1">
        <v>3</v>
      </c>
      <c r="F147" s="2" t="s">
        <v>12</v>
      </c>
      <c r="G147" s="2" t="s">
        <v>14</v>
      </c>
      <c r="H147" s="2">
        <f t="shared" si="12"/>
        <v>100</v>
      </c>
      <c r="I147" s="2">
        <v>236</v>
      </c>
      <c r="J147" s="2">
        <f t="shared" si="13"/>
        <v>336</v>
      </c>
      <c r="K147" s="1" t="s">
        <v>15</v>
      </c>
      <c r="L147">
        <v>33</v>
      </c>
      <c r="M147">
        <v>16</v>
      </c>
      <c r="N147">
        <v>268.8</v>
      </c>
      <c r="O147">
        <v>16.5</v>
      </c>
      <c r="P147">
        <f t="shared" si="14"/>
        <v>528</v>
      </c>
      <c r="Q147">
        <v>1991.2</v>
      </c>
      <c r="R147">
        <v>182.5</v>
      </c>
      <c r="S147">
        <f t="shared" si="15"/>
        <v>2173.6999999999998</v>
      </c>
      <c r="T147">
        <v>12</v>
      </c>
      <c r="U147" s="3">
        <f t="shared" si="16"/>
        <v>11857.263194161591</v>
      </c>
      <c r="V147" s="3">
        <f t="shared" si="17"/>
        <v>330.59068930299497</v>
      </c>
    </row>
    <row r="148" spans="1:22" x14ac:dyDescent="0.3">
      <c r="A148">
        <v>2024</v>
      </c>
      <c r="B148" t="s">
        <v>35</v>
      </c>
      <c r="C148">
        <v>543</v>
      </c>
      <c r="D148" t="s">
        <v>10</v>
      </c>
      <c r="E148" s="1">
        <v>3</v>
      </c>
      <c r="F148" s="2" t="s">
        <v>12</v>
      </c>
      <c r="G148" s="2" t="s">
        <v>14</v>
      </c>
      <c r="H148" s="2">
        <f t="shared" si="12"/>
        <v>100</v>
      </c>
      <c r="I148" s="2">
        <v>236</v>
      </c>
      <c r="J148" s="2">
        <f t="shared" si="13"/>
        <v>336</v>
      </c>
      <c r="K148" s="1" t="s">
        <v>15</v>
      </c>
      <c r="L148">
        <v>26</v>
      </c>
      <c r="M148">
        <v>16</v>
      </c>
      <c r="N148">
        <v>268.8</v>
      </c>
      <c r="O148">
        <v>16.5</v>
      </c>
      <c r="P148">
        <f t="shared" si="14"/>
        <v>416</v>
      </c>
      <c r="Q148">
        <v>1991.2</v>
      </c>
      <c r="R148">
        <v>182.5</v>
      </c>
      <c r="S148">
        <f t="shared" si="15"/>
        <v>2173.6999999999998</v>
      </c>
      <c r="T148">
        <v>12</v>
      </c>
      <c r="U148" s="3">
        <f t="shared" si="16"/>
        <v>11857.263194161591</v>
      </c>
      <c r="V148" s="3">
        <f t="shared" si="17"/>
        <v>330.59068930299497</v>
      </c>
    </row>
    <row r="149" spans="1:22" x14ac:dyDescent="0.3">
      <c r="A149">
        <v>2024</v>
      </c>
      <c r="B149" t="s">
        <v>35</v>
      </c>
      <c r="C149">
        <v>543</v>
      </c>
      <c r="D149" t="s">
        <v>10</v>
      </c>
      <c r="E149" s="1">
        <v>3</v>
      </c>
      <c r="F149" s="2" t="s">
        <v>12</v>
      </c>
      <c r="G149" s="2" t="s">
        <v>14</v>
      </c>
      <c r="H149" s="2">
        <f t="shared" si="12"/>
        <v>100</v>
      </c>
      <c r="I149" s="2">
        <v>236</v>
      </c>
      <c r="J149" s="2">
        <f t="shared" si="13"/>
        <v>336</v>
      </c>
      <c r="K149" s="1" t="s">
        <v>15</v>
      </c>
      <c r="L149">
        <v>26</v>
      </c>
      <c r="M149">
        <v>18</v>
      </c>
      <c r="N149">
        <v>268.8</v>
      </c>
      <c r="O149">
        <v>16.5</v>
      </c>
      <c r="P149">
        <f t="shared" si="14"/>
        <v>468</v>
      </c>
      <c r="Q149">
        <v>1991.2</v>
      </c>
      <c r="R149">
        <v>182.5</v>
      </c>
      <c r="S149">
        <f t="shared" si="15"/>
        <v>2173.6999999999998</v>
      </c>
      <c r="T149">
        <v>12</v>
      </c>
      <c r="U149" s="3">
        <f t="shared" si="16"/>
        <v>11857.263194161591</v>
      </c>
      <c r="V149" s="3">
        <f t="shared" si="17"/>
        <v>330.59068930299497</v>
      </c>
    </row>
    <row r="150" spans="1:22" x14ac:dyDescent="0.3">
      <c r="A150">
        <v>2024</v>
      </c>
      <c r="B150" t="s">
        <v>35</v>
      </c>
      <c r="C150">
        <v>543</v>
      </c>
      <c r="D150" t="s">
        <v>10</v>
      </c>
      <c r="E150" s="1">
        <v>3</v>
      </c>
      <c r="F150" s="2" t="s">
        <v>12</v>
      </c>
      <c r="G150" s="2" t="s">
        <v>14</v>
      </c>
      <c r="H150" s="2">
        <f t="shared" si="12"/>
        <v>100</v>
      </c>
      <c r="I150" s="2">
        <v>236</v>
      </c>
      <c r="J150" s="2">
        <f t="shared" si="13"/>
        <v>336</v>
      </c>
      <c r="K150" s="1" t="s">
        <v>15</v>
      </c>
      <c r="L150">
        <v>32</v>
      </c>
      <c r="M150">
        <v>17</v>
      </c>
      <c r="N150">
        <v>268.8</v>
      </c>
      <c r="O150">
        <v>16.5</v>
      </c>
      <c r="P150">
        <f t="shared" si="14"/>
        <v>544</v>
      </c>
      <c r="Q150">
        <v>1991.2</v>
      </c>
      <c r="R150">
        <v>182.5</v>
      </c>
      <c r="S150">
        <f t="shared" si="15"/>
        <v>2173.6999999999998</v>
      </c>
      <c r="T150">
        <v>12</v>
      </c>
      <c r="U150" s="3">
        <f t="shared" si="16"/>
        <v>11857.263194161591</v>
      </c>
      <c r="V150" s="3">
        <f t="shared" si="17"/>
        <v>330.59068930299497</v>
      </c>
    </row>
    <row r="151" spans="1:22" x14ac:dyDescent="0.3">
      <c r="A151">
        <v>2024</v>
      </c>
      <c r="B151" t="s">
        <v>35</v>
      </c>
      <c r="C151">
        <v>543</v>
      </c>
      <c r="D151" t="s">
        <v>10</v>
      </c>
      <c r="E151" s="1">
        <v>3</v>
      </c>
      <c r="F151" s="2" t="s">
        <v>12</v>
      </c>
      <c r="G151" s="2" t="s">
        <v>14</v>
      </c>
      <c r="H151" s="2">
        <f t="shared" si="12"/>
        <v>100</v>
      </c>
      <c r="I151" s="2">
        <v>236</v>
      </c>
      <c r="J151" s="2">
        <f t="shared" si="13"/>
        <v>336</v>
      </c>
      <c r="K151" s="1" t="s">
        <v>15</v>
      </c>
      <c r="L151">
        <v>31</v>
      </c>
      <c r="M151">
        <v>16</v>
      </c>
      <c r="N151">
        <v>268.8</v>
      </c>
      <c r="O151">
        <v>16.5</v>
      </c>
      <c r="P151">
        <f t="shared" si="14"/>
        <v>496</v>
      </c>
      <c r="Q151">
        <v>1991.2</v>
      </c>
      <c r="R151">
        <v>182.5</v>
      </c>
      <c r="S151">
        <f t="shared" si="15"/>
        <v>2173.6999999999998</v>
      </c>
      <c r="T151">
        <v>12</v>
      </c>
      <c r="U151" s="3">
        <f t="shared" si="16"/>
        <v>11857.263194161591</v>
      </c>
      <c r="V151" s="3">
        <f t="shared" si="17"/>
        <v>330.59068930299497</v>
      </c>
    </row>
    <row r="152" spans="1:22" x14ac:dyDescent="0.3">
      <c r="A152">
        <v>2024</v>
      </c>
      <c r="B152" t="s">
        <v>35</v>
      </c>
      <c r="C152">
        <v>543</v>
      </c>
      <c r="D152" t="s">
        <v>10</v>
      </c>
      <c r="E152" s="1">
        <v>3</v>
      </c>
      <c r="F152" s="2" t="s">
        <v>12</v>
      </c>
      <c r="G152" s="2" t="s">
        <v>14</v>
      </c>
      <c r="H152" s="2">
        <f t="shared" si="12"/>
        <v>100</v>
      </c>
      <c r="I152" s="2">
        <v>236</v>
      </c>
      <c r="J152" s="2">
        <f t="shared" si="13"/>
        <v>336</v>
      </c>
      <c r="K152" s="1" t="s">
        <v>15</v>
      </c>
      <c r="L152">
        <v>40</v>
      </c>
      <c r="M152">
        <v>16</v>
      </c>
      <c r="N152">
        <v>268.8</v>
      </c>
      <c r="O152">
        <v>16.5</v>
      </c>
      <c r="P152">
        <f t="shared" si="14"/>
        <v>640</v>
      </c>
      <c r="Q152">
        <v>1991.2</v>
      </c>
      <c r="R152">
        <v>182.5</v>
      </c>
      <c r="S152">
        <f t="shared" si="15"/>
        <v>2173.6999999999998</v>
      </c>
      <c r="T152">
        <v>12</v>
      </c>
      <c r="U152" s="3">
        <f t="shared" si="16"/>
        <v>11857.263194161591</v>
      </c>
      <c r="V152" s="3">
        <f t="shared" si="17"/>
        <v>330.59068930299497</v>
      </c>
    </row>
    <row r="153" spans="1:22" x14ac:dyDescent="0.3">
      <c r="A153">
        <v>2024</v>
      </c>
      <c r="B153" t="s">
        <v>35</v>
      </c>
      <c r="C153">
        <v>543</v>
      </c>
      <c r="D153" t="s">
        <v>10</v>
      </c>
      <c r="E153" s="1">
        <v>3</v>
      </c>
      <c r="F153" s="2" t="s">
        <v>12</v>
      </c>
      <c r="G153" s="2" t="s">
        <v>14</v>
      </c>
      <c r="H153" s="2">
        <f t="shared" si="12"/>
        <v>100</v>
      </c>
      <c r="I153" s="2">
        <v>236</v>
      </c>
      <c r="J153" s="2">
        <f t="shared" si="13"/>
        <v>336</v>
      </c>
      <c r="K153" s="1" t="s">
        <v>15</v>
      </c>
      <c r="L153">
        <v>39</v>
      </c>
      <c r="M153">
        <v>18</v>
      </c>
      <c r="N153">
        <v>268.8</v>
      </c>
      <c r="O153">
        <v>16.5</v>
      </c>
      <c r="P153">
        <f t="shared" si="14"/>
        <v>702</v>
      </c>
      <c r="Q153">
        <v>1991.2</v>
      </c>
      <c r="R153">
        <v>182.5</v>
      </c>
      <c r="S153">
        <f t="shared" si="15"/>
        <v>2173.6999999999998</v>
      </c>
      <c r="T153">
        <v>12</v>
      </c>
      <c r="U153" s="3">
        <f t="shared" si="16"/>
        <v>11857.263194161591</v>
      </c>
      <c r="V153" s="3">
        <f t="shared" si="17"/>
        <v>330.59068930299497</v>
      </c>
    </row>
    <row r="154" spans="1:22" x14ac:dyDescent="0.3">
      <c r="A154">
        <v>2024</v>
      </c>
      <c r="B154" t="s">
        <v>35</v>
      </c>
      <c r="C154">
        <v>544</v>
      </c>
      <c r="D154" t="s">
        <v>10</v>
      </c>
      <c r="E154" s="1">
        <v>3</v>
      </c>
      <c r="F154" s="2" t="s">
        <v>12</v>
      </c>
      <c r="G154" s="2" t="s">
        <v>13</v>
      </c>
      <c r="H154" s="2">
        <f t="shared" si="12"/>
        <v>100</v>
      </c>
      <c r="I154" s="2">
        <v>105</v>
      </c>
      <c r="J154" s="2">
        <f t="shared" si="13"/>
        <v>205</v>
      </c>
      <c r="K154" s="1" t="s">
        <v>15</v>
      </c>
      <c r="L154">
        <v>43</v>
      </c>
      <c r="M154">
        <v>15</v>
      </c>
      <c r="N154">
        <v>266.5</v>
      </c>
      <c r="O154">
        <v>17.8</v>
      </c>
      <c r="P154">
        <f t="shared" si="14"/>
        <v>645</v>
      </c>
      <c r="Q154">
        <v>1480.1</v>
      </c>
      <c r="R154">
        <v>197.1</v>
      </c>
      <c r="S154">
        <f t="shared" si="15"/>
        <v>1677.1999999999998</v>
      </c>
      <c r="T154">
        <v>12</v>
      </c>
      <c r="U154" s="3">
        <f t="shared" si="16"/>
        <v>8170.0474132727941</v>
      </c>
      <c r="V154" s="3">
        <f t="shared" si="17"/>
        <v>227.7879441287871</v>
      </c>
    </row>
    <row r="155" spans="1:22" x14ac:dyDescent="0.3">
      <c r="A155">
        <v>2024</v>
      </c>
      <c r="B155" t="s">
        <v>35</v>
      </c>
      <c r="C155">
        <v>544</v>
      </c>
      <c r="D155" t="s">
        <v>10</v>
      </c>
      <c r="E155" s="1">
        <v>3</v>
      </c>
      <c r="F155" s="2" t="s">
        <v>12</v>
      </c>
      <c r="G155" s="2" t="s">
        <v>13</v>
      </c>
      <c r="H155" s="2">
        <f t="shared" si="12"/>
        <v>100</v>
      </c>
      <c r="I155" s="2">
        <v>105</v>
      </c>
      <c r="J155" s="2">
        <f t="shared" si="13"/>
        <v>205</v>
      </c>
      <c r="K155" s="1" t="s">
        <v>15</v>
      </c>
      <c r="L155">
        <v>26</v>
      </c>
      <c r="M155">
        <v>16</v>
      </c>
      <c r="N155">
        <v>266.5</v>
      </c>
      <c r="O155">
        <v>17.8</v>
      </c>
      <c r="P155">
        <f t="shared" si="14"/>
        <v>416</v>
      </c>
      <c r="Q155">
        <v>1480.1</v>
      </c>
      <c r="R155">
        <v>197.1</v>
      </c>
      <c r="S155">
        <f t="shared" si="15"/>
        <v>1677.1999999999998</v>
      </c>
      <c r="T155">
        <v>12</v>
      </c>
      <c r="U155" s="3">
        <f t="shared" si="16"/>
        <v>8170.0474132727941</v>
      </c>
      <c r="V155" s="3">
        <f t="shared" si="17"/>
        <v>227.7879441287871</v>
      </c>
    </row>
    <row r="156" spans="1:22" x14ac:dyDescent="0.3">
      <c r="A156">
        <v>2024</v>
      </c>
      <c r="B156" t="s">
        <v>35</v>
      </c>
      <c r="C156">
        <v>544</v>
      </c>
      <c r="D156" t="s">
        <v>10</v>
      </c>
      <c r="E156" s="1">
        <v>3</v>
      </c>
      <c r="F156" s="2" t="s">
        <v>12</v>
      </c>
      <c r="G156" s="2" t="s">
        <v>13</v>
      </c>
      <c r="H156" s="2">
        <f t="shared" si="12"/>
        <v>100</v>
      </c>
      <c r="I156" s="2">
        <v>105</v>
      </c>
      <c r="J156" s="2">
        <f t="shared" si="13"/>
        <v>205</v>
      </c>
      <c r="K156" s="1" t="s">
        <v>15</v>
      </c>
      <c r="L156">
        <v>31</v>
      </c>
      <c r="M156">
        <v>16</v>
      </c>
      <c r="N156">
        <v>266.5</v>
      </c>
      <c r="O156">
        <v>17.8</v>
      </c>
      <c r="P156">
        <f t="shared" si="14"/>
        <v>496</v>
      </c>
      <c r="Q156">
        <v>1480.1</v>
      </c>
      <c r="R156">
        <v>197.1</v>
      </c>
      <c r="S156">
        <f t="shared" si="15"/>
        <v>1677.1999999999998</v>
      </c>
      <c r="T156">
        <v>12</v>
      </c>
      <c r="U156" s="3">
        <f t="shared" si="16"/>
        <v>8170.0474132727941</v>
      </c>
      <c r="V156" s="3">
        <f t="shared" si="17"/>
        <v>227.7879441287871</v>
      </c>
    </row>
    <row r="157" spans="1:22" x14ac:dyDescent="0.3">
      <c r="A157">
        <v>2024</v>
      </c>
      <c r="B157" t="s">
        <v>35</v>
      </c>
      <c r="C157">
        <v>544</v>
      </c>
      <c r="D157" t="s">
        <v>10</v>
      </c>
      <c r="E157" s="1">
        <v>3</v>
      </c>
      <c r="F157" s="2" t="s">
        <v>12</v>
      </c>
      <c r="G157" s="2" t="s">
        <v>13</v>
      </c>
      <c r="H157" s="2">
        <f t="shared" si="12"/>
        <v>100</v>
      </c>
      <c r="I157" s="2">
        <v>105</v>
      </c>
      <c r="J157" s="2">
        <f t="shared" si="13"/>
        <v>205</v>
      </c>
      <c r="K157" s="1" t="s">
        <v>15</v>
      </c>
      <c r="L157">
        <v>23</v>
      </c>
      <c r="M157">
        <v>18</v>
      </c>
      <c r="N157">
        <v>266.5</v>
      </c>
      <c r="O157">
        <v>17.8</v>
      </c>
      <c r="P157">
        <f t="shared" si="14"/>
        <v>414</v>
      </c>
      <c r="Q157">
        <v>1480.1</v>
      </c>
      <c r="R157">
        <v>197.1</v>
      </c>
      <c r="S157">
        <f t="shared" si="15"/>
        <v>1677.1999999999998</v>
      </c>
      <c r="T157">
        <v>12</v>
      </c>
      <c r="U157" s="3">
        <f t="shared" si="16"/>
        <v>8170.0474132727941</v>
      </c>
      <c r="V157" s="3">
        <f t="shared" si="17"/>
        <v>227.7879441287871</v>
      </c>
    </row>
    <row r="158" spans="1:22" x14ac:dyDescent="0.3">
      <c r="A158">
        <v>2024</v>
      </c>
      <c r="B158" t="s">
        <v>35</v>
      </c>
      <c r="C158">
        <v>544</v>
      </c>
      <c r="D158" t="s">
        <v>10</v>
      </c>
      <c r="E158" s="1">
        <v>3</v>
      </c>
      <c r="F158" s="2" t="s">
        <v>12</v>
      </c>
      <c r="G158" s="2" t="s">
        <v>13</v>
      </c>
      <c r="H158" s="2">
        <f t="shared" si="12"/>
        <v>100</v>
      </c>
      <c r="I158" s="2">
        <v>105</v>
      </c>
      <c r="J158" s="2">
        <f t="shared" si="13"/>
        <v>205</v>
      </c>
      <c r="K158" s="1" t="s">
        <v>15</v>
      </c>
      <c r="L158">
        <v>19</v>
      </c>
      <c r="M158">
        <v>16</v>
      </c>
      <c r="N158">
        <v>266.5</v>
      </c>
      <c r="O158">
        <v>17.8</v>
      </c>
      <c r="P158">
        <f t="shared" si="14"/>
        <v>304</v>
      </c>
      <c r="Q158">
        <v>1480.1</v>
      </c>
      <c r="R158">
        <v>197.1</v>
      </c>
      <c r="S158">
        <f t="shared" si="15"/>
        <v>1677.1999999999998</v>
      </c>
      <c r="T158">
        <v>12</v>
      </c>
      <c r="U158" s="3">
        <f t="shared" si="16"/>
        <v>8170.0474132727941</v>
      </c>
      <c r="V158" s="3">
        <f t="shared" si="17"/>
        <v>227.7879441287871</v>
      </c>
    </row>
    <row r="159" spans="1:22" x14ac:dyDescent="0.3">
      <c r="A159">
        <v>2024</v>
      </c>
      <c r="B159" t="s">
        <v>35</v>
      </c>
      <c r="C159">
        <v>544</v>
      </c>
      <c r="D159" t="s">
        <v>10</v>
      </c>
      <c r="E159" s="1">
        <v>3</v>
      </c>
      <c r="F159" s="2" t="s">
        <v>12</v>
      </c>
      <c r="G159" s="2" t="s">
        <v>13</v>
      </c>
      <c r="H159" s="2">
        <f t="shared" si="12"/>
        <v>100</v>
      </c>
      <c r="I159" s="2">
        <v>105</v>
      </c>
      <c r="J159" s="2">
        <f t="shared" si="13"/>
        <v>205</v>
      </c>
      <c r="K159" s="1" t="s">
        <v>15</v>
      </c>
      <c r="L159">
        <v>29</v>
      </c>
      <c r="M159">
        <v>16</v>
      </c>
      <c r="N159">
        <v>266.5</v>
      </c>
      <c r="O159">
        <v>17.8</v>
      </c>
      <c r="P159">
        <f t="shared" si="14"/>
        <v>464</v>
      </c>
      <c r="Q159">
        <v>1480.1</v>
      </c>
      <c r="R159">
        <v>197.1</v>
      </c>
      <c r="S159">
        <f t="shared" si="15"/>
        <v>1677.1999999999998</v>
      </c>
      <c r="T159">
        <v>12</v>
      </c>
      <c r="U159" s="3">
        <f t="shared" si="16"/>
        <v>8170.0474132727941</v>
      </c>
      <c r="V159" s="3">
        <f t="shared" si="17"/>
        <v>227.7879441287871</v>
      </c>
    </row>
    <row r="160" spans="1:22" x14ac:dyDescent="0.3">
      <c r="A160">
        <v>2024</v>
      </c>
      <c r="B160" t="s">
        <v>35</v>
      </c>
      <c r="C160">
        <v>544</v>
      </c>
      <c r="D160" t="s">
        <v>10</v>
      </c>
      <c r="E160" s="1">
        <v>3</v>
      </c>
      <c r="F160" s="2" t="s">
        <v>12</v>
      </c>
      <c r="G160" s="2" t="s">
        <v>13</v>
      </c>
      <c r="H160" s="2">
        <f t="shared" si="12"/>
        <v>100</v>
      </c>
      <c r="I160" s="2">
        <v>105</v>
      </c>
      <c r="J160" s="2">
        <f t="shared" si="13"/>
        <v>205</v>
      </c>
      <c r="K160" s="1" t="s">
        <v>15</v>
      </c>
      <c r="L160">
        <v>25</v>
      </c>
      <c r="M160">
        <v>20</v>
      </c>
      <c r="N160">
        <v>266.5</v>
      </c>
      <c r="O160">
        <v>17.8</v>
      </c>
      <c r="P160">
        <f t="shared" si="14"/>
        <v>500</v>
      </c>
      <c r="Q160">
        <v>1480.1</v>
      </c>
      <c r="R160">
        <v>197.1</v>
      </c>
      <c r="S160">
        <f t="shared" si="15"/>
        <v>1677.1999999999998</v>
      </c>
      <c r="T160">
        <v>12</v>
      </c>
      <c r="U160" s="3">
        <f t="shared" si="16"/>
        <v>8170.0474132727941</v>
      </c>
      <c r="V160" s="3">
        <f t="shared" si="17"/>
        <v>227.7879441287871</v>
      </c>
    </row>
    <row r="161" spans="1:22" x14ac:dyDescent="0.3">
      <c r="A161">
        <v>2024</v>
      </c>
      <c r="B161" t="s">
        <v>35</v>
      </c>
      <c r="C161">
        <v>544</v>
      </c>
      <c r="D161" t="s">
        <v>10</v>
      </c>
      <c r="E161" s="1">
        <v>3</v>
      </c>
      <c r="F161" s="2" t="s">
        <v>12</v>
      </c>
      <c r="G161" s="2" t="s">
        <v>13</v>
      </c>
      <c r="H161" s="2">
        <f t="shared" si="12"/>
        <v>100</v>
      </c>
      <c r="I161" s="2">
        <v>105</v>
      </c>
      <c r="J161" s="2">
        <f t="shared" si="13"/>
        <v>205</v>
      </c>
      <c r="K161" s="1" t="s">
        <v>15</v>
      </c>
      <c r="L161">
        <v>33</v>
      </c>
      <c r="M161">
        <v>14</v>
      </c>
      <c r="N161">
        <v>266.5</v>
      </c>
      <c r="O161">
        <v>17.8</v>
      </c>
      <c r="P161">
        <f t="shared" si="14"/>
        <v>462</v>
      </c>
      <c r="Q161">
        <v>1480.1</v>
      </c>
      <c r="R161">
        <v>197.1</v>
      </c>
      <c r="S161">
        <f t="shared" si="15"/>
        <v>1677.1999999999998</v>
      </c>
      <c r="T161">
        <v>12</v>
      </c>
      <c r="U161" s="3">
        <f t="shared" si="16"/>
        <v>8170.0474132727941</v>
      </c>
      <c r="V161" s="3">
        <f t="shared" si="17"/>
        <v>227.7879441287871</v>
      </c>
    </row>
    <row r="162" spans="1:22" x14ac:dyDescent="0.3">
      <c r="A162">
        <v>2024</v>
      </c>
      <c r="B162" t="s">
        <v>35</v>
      </c>
      <c r="C162">
        <v>544</v>
      </c>
      <c r="D162" t="s">
        <v>10</v>
      </c>
      <c r="E162" s="1">
        <v>3</v>
      </c>
      <c r="F162" s="2" t="s">
        <v>12</v>
      </c>
      <c r="G162" s="2" t="s">
        <v>13</v>
      </c>
      <c r="H162" s="2">
        <f t="shared" si="12"/>
        <v>100</v>
      </c>
      <c r="I162" s="2">
        <v>105</v>
      </c>
      <c r="J162" s="2">
        <f t="shared" si="13"/>
        <v>205</v>
      </c>
      <c r="K162" s="1" t="s">
        <v>15</v>
      </c>
      <c r="L162">
        <v>36</v>
      </c>
      <c r="M162">
        <v>16</v>
      </c>
      <c r="N162">
        <v>266.5</v>
      </c>
      <c r="O162">
        <v>17.8</v>
      </c>
      <c r="P162">
        <f t="shared" si="14"/>
        <v>576</v>
      </c>
      <c r="Q162">
        <v>1480.1</v>
      </c>
      <c r="R162">
        <v>197.1</v>
      </c>
      <c r="S162">
        <f t="shared" si="15"/>
        <v>1677.1999999999998</v>
      </c>
      <c r="T162">
        <v>12</v>
      </c>
      <c r="U162" s="3">
        <f t="shared" si="16"/>
        <v>8170.0474132727941</v>
      </c>
      <c r="V162" s="3">
        <f t="shared" si="17"/>
        <v>227.7879441287871</v>
      </c>
    </row>
    <row r="163" spans="1:22" x14ac:dyDescent="0.3">
      <c r="A163">
        <v>2024</v>
      </c>
      <c r="B163" t="s">
        <v>35</v>
      </c>
      <c r="C163">
        <v>544</v>
      </c>
      <c r="D163" t="s">
        <v>10</v>
      </c>
      <c r="E163" s="1">
        <v>3</v>
      </c>
      <c r="F163" s="2" t="s">
        <v>12</v>
      </c>
      <c r="G163" s="2" t="s">
        <v>13</v>
      </c>
      <c r="H163" s="2">
        <f t="shared" si="12"/>
        <v>100</v>
      </c>
      <c r="I163" s="2">
        <v>105</v>
      </c>
      <c r="J163" s="2">
        <f t="shared" si="13"/>
        <v>205</v>
      </c>
      <c r="K163" s="1" t="s">
        <v>15</v>
      </c>
      <c r="L163">
        <v>25</v>
      </c>
      <c r="M163">
        <v>16</v>
      </c>
      <c r="N163">
        <v>266.5</v>
      </c>
      <c r="O163">
        <v>17.8</v>
      </c>
      <c r="P163">
        <f t="shared" si="14"/>
        <v>400</v>
      </c>
      <c r="Q163">
        <v>1480.1</v>
      </c>
      <c r="R163">
        <v>197.1</v>
      </c>
      <c r="S163">
        <f t="shared" si="15"/>
        <v>1677.1999999999998</v>
      </c>
      <c r="T163">
        <v>12</v>
      </c>
      <c r="U163" s="3">
        <f t="shared" si="16"/>
        <v>8170.0474132727941</v>
      </c>
      <c r="V163" s="3">
        <f t="shared" si="17"/>
        <v>227.7879441287871</v>
      </c>
    </row>
    <row r="164" spans="1:22" x14ac:dyDescent="0.3">
      <c r="A164">
        <v>2024</v>
      </c>
      <c r="B164" t="s">
        <v>35</v>
      </c>
      <c r="C164">
        <v>544</v>
      </c>
      <c r="D164" t="s">
        <v>10</v>
      </c>
      <c r="E164" s="1">
        <v>3</v>
      </c>
      <c r="F164" s="2" t="s">
        <v>12</v>
      </c>
      <c r="G164" s="2" t="s">
        <v>13</v>
      </c>
      <c r="H164" s="2">
        <f t="shared" si="12"/>
        <v>100</v>
      </c>
      <c r="I164" s="2">
        <v>105</v>
      </c>
      <c r="J164" s="2">
        <f t="shared" si="13"/>
        <v>205</v>
      </c>
      <c r="K164" s="1" t="s">
        <v>15</v>
      </c>
      <c r="L164">
        <v>29</v>
      </c>
      <c r="M164">
        <v>18</v>
      </c>
      <c r="N164">
        <v>266.5</v>
      </c>
      <c r="O164">
        <v>17.8</v>
      </c>
      <c r="P164">
        <f t="shared" si="14"/>
        <v>522</v>
      </c>
      <c r="Q164">
        <v>1480.1</v>
      </c>
      <c r="R164">
        <v>197.1</v>
      </c>
      <c r="S164">
        <f t="shared" si="15"/>
        <v>1677.1999999999998</v>
      </c>
      <c r="T164">
        <v>12</v>
      </c>
      <c r="U164" s="3">
        <f t="shared" si="16"/>
        <v>8170.0474132727941</v>
      </c>
      <c r="V164" s="3">
        <f t="shared" si="17"/>
        <v>227.7879441287871</v>
      </c>
    </row>
    <row r="165" spans="1:22" x14ac:dyDescent="0.3">
      <c r="A165">
        <v>2024</v>
      </c>
      <c r="B165" t="s">
        <v>35</v>
      </c>
      <c r="C165">
        <v>544</v>
      </c>
      <c r="D165" t="s">
        <v>10</v>
      </c>
      <c r="E165" s="1">
        <v>3</v>
      </c>
      <c r="F165" s="2" t="s">
        <v>12</v>
      </c>
      <c r="G165" s="2" t="s">
        <v>13</v>
      </c>
      <c r="H165" s="2">
        <f t="shared" si="12"/>
        <v>100</v>
      </c>
      <c r="I165" s="2">
        <v>105</v>
      </c>
      <c r="J165" s="2">
        <f t="shared" si="13"/>
        <v>205</v>
      </c>
      <c r="K165" s="1" t="s">
        <v>15</v>
      </c>
      <c r="L165">
        <v>29</v>
      </c>
      <c r="M165">
        <v>19</v>
      </c>
      <c r="N165">
        <v>266.5</v>
      </c>
      <c r="O165">
        <v>17.8</v>
      </c>
      <c r="P165">
        <f t="shared" si="14"/>
        <v>551</v>
      </c>
      <c r="Q165">
        <v>1480.1</v>
      </c>
      <c r="R165">
        <v>197.1</v>
      </c>
      <c r="S165">
        <f t="shared" si="15"/>
        <v>1677.1999999999998</v>
      </c>
      <c r="T165">
        <v>12</v>
      </c>
      <c r="U165" s="3">
        <f t="shared" si="16"/>
        <v>8170.0474132727941</v>
      </c>
      <c r="V165" s="3">
        <f t="shared" si="17"/>
        <v>227.7879441287871</v>
      </c>
    </row>
    <row r="166" spans="1:22" x14ac:dyDescent="0.3">
      <c r="A166">
        <v>2024</v>
      </c>
      <c r="B166" t="s">
        <v>35</v>
      </c>
      <c r="C166">
        <v>545</v>
      </c>
      <c r="D166" t="s">
        <v>10</v>
      </c>
      <c r="E166" s="1">
        <v>3</v>
      </c>
      <c r="F166" s="2" t="s">
        <v>12</v>
      </c>
      <c r="G166" s="2">
        <v>0</v>
      </c>
      <c r="H166" s="2">
        <f t="shared" si="12"/>
        <v>0</v>
      </c>
      <c r="I166" s="2">
        <v>0</v>
      </c>
      <c r="J166" s="2">
        <f t="shared" si="13"/>
        <v>0</v>
      </c>
      <c r="K166" s="1" t="s">
        <v>15</v>
      </c>
      <c r="L166">
        <v>27</v>
      </c>
      <c r="M166">
        <v>14</v>
      </c>
      <c r="N166">
        <v>273.39999999999998</v>
      </c>
      <c r="O166">
        <v>16</v>
      </c>
      <c r="P166">
        <f t="shared" si="14"/>
        <v>378</v>
      </c>
      <c r="Q166">
        <v>1114</v>
      </c>
      <c r="R166">
        <v>139.19999999999999</v>
      </c>
      <c r="S166">
        <f t="shared" si="15"/>
        <v>1253.2</v>
      </c>
      <c r="T166">
        <v>12</v>
      </c>
      <c r="U166" s="3">
        <f t="shared" si="16"/>
        <v>6840.9864268997417</v>
      </c>
      <c r="V166" s="3">
        <f t="shared" si="17"/>
        <v>190.73258148598686</v>
      </c>
    </row>
    <row r="167" spans="1:22" x14ac:dyDescent="0.3">
      <c r="A167">
        <v>2024</v>
      </c>
      <c r="B167" t="s">
        <v>35</v>
      </c>
      <c r="C167">
        <v>545</v>
      </c>
      <c r="D167" t="s">
        <v>10</v>
      </c>
      <c r="E167" s="1">
        <v>3</v>
      </c>
      <c r="F167" s="2" t="s">
        <v>12</v>
      </c>
      <c r="G167" s="2">
        <v>0</v>
      </c>
      <c r="H167" s="2">
        <f t="shared" si="12"/>
        <v>0</v>
      </c>
      <c r="I167" s="2">
        <v>0</v>
      </c>
      <c r="J167" s="2">
        <f t="shared" si="13"/>
        <v>0</v>
      </c>
      <c r="K167" s="1" t="s">
        <v>15</v>
      </c>
      <c r="L167">
        <v>21</v>
      </c>
      <c r="M167">
        <v>15</v>
      </c>
      <c r="N167">
        <v>273.39999999999998</v>
      </c>
      <c r="O167">
        <v>16</v>
      </c>
      <c r="P167">
        <f t="shared" si="14"/>
        <v>315</v>
      </c>
      <c r="Q167">
        <v>1114</v>
      </c>
      <c r="R167">
        <v>139.19999999999999</v>
      </c>
      <c r="S167">
        <f t="shared" si="15"/>
        <v>1253.2</v>
      </c>
      <c r="T167">
        <v>12</v>
      </c>
      <c r="U167" s="3">
        <f t="shared" si="16"/>
        <v>6840.9864268997417</v>
      </c>
      <c r="V167" s="3">
        <f t="shared" si="17"/>
        <v>190.73258148598686</v>
      </c>
    </row>
    <row r="168" spans="1:22" x14ac:dyDescent="0.3">
      <c r="A168">
        <v>2024</v>
      </c>
      <c r="B168" t="s">
        <v>35</v>
      </c>
      <c r="C168">
        <v>545</v>
      </c>
      <c r="D168" t="s">
        <v>10</v>
      </c>
      <c r="E168" s="1">
        <v>3</v>
      </c>
      <c r="F168" s="2" t="s">
        <v>12</v>
      </c>
      <c r="G168" s="2">
        <v>0</v>
      </c>
      <c r="H168" s="2">
        <f t="shared" si="12"/>
        <v>0</v>
      </c>
      <c r="I168" s="2">
        <v>0</v>
      </c>
      <c r="J168" s="2">
        <f t="shared" si="13"/>
        <v>0</v>
      </c>
      <c r="K168" s="1" t="s">
        <v>15</v>
      </c>
      <c r="L168">
        <v>18</v>
      </c>
      <c r="M168">
        <v>16</v>
      </c>
      <c r="N168">
        <v>273.39999999999998</v>
      </c>
      <c r="O168">
        <v>16</v>
      </c>
      <c r="P168">
        <f t="shared" si="14"/>
        <v>288</v>
      </c>
      <c r="Q168">
        <v>1114</v>
      </c>
      <c r="R168">
        <v>139.19999999999999</v>
      </c>
      <c r="S168">
        <f t="shared" si="15"/>
        <v>1253.2</v>
      </c>
      <c r="T168">
        <v>12</v>
      </c>
      <c r="U168" s="3">
        <f t="shared" si="16"/>
        <v>6840.9864268997417</v>
      </c>
      <c r="V168" s="3">
        <f t="shared" si="17"/>
        <v>190.73258148598686</v>
      </c>
    </row>
    <row r="169" spans="1:22" x14ac:dyDescent="0.3">
      <c r="A169">
        <v>2024</v>
      </c>
      <c r="B169" t="s">
        <v>35</v>
      </c>
      <c r="C169">
        <v>545</v>
      </c>
      <c r="D169" t="s">
        <v>10</v>
      </c>
      <c r="E169" s="1">
        <v>3</v>
      </c>
      <c r="F169" s="2" t="s">
        <v>12</v>
      </c>
      <c r="G169" s="2">
        <v>0</v>
      </c>
      <c r="H169" s="2">
        <f t="shared" si="12"/>
        <v>0</v>
      </c>
      <c r="I169" s="2">
        <v>0</v>
      </c>
      <c r="J169" s="2">
        <f t="shared" si="13"/>
        <v>0</v>
      </c>
      <c r="K169" s="1" t="s">
        <v>15</v>
      </c>
      <c r="L169">
        <v>26</v>
      </c>
      <c r="M169">
        <v>16</v>
      </c>
      <c r="N169">
        <v>273.39999999999998</v>
      </c>
      <c r="O169">
        <v>16</v>
      </c>
      <c r="P169">
        <f t="shared" si="14"/>
        <v>416</v>
      </c>
      <c r="Q169">
        <v>1114</v>
      </c>
      <c r="R169">
        <v>139.19999999999999</v>
      </c>
      <c r="S169">
        <f t="shared" si="15"/>
        <v>1253.2</v>
      </c>
      <c r="T169">
        <v>12</v>
      </c>
      <c r="U169" s="3">
        <f t="shared" si="16"/>
        <v>6840.9864268997417</v>
      </c>
      <c r="V169" s="3">
        <f t="shared" si="17"/>
        <v>190.73258148598686</v>
      </c>
    </row>
    <row r="170" spans="1:22" x14ac:dyDescent="0.3">
      <c r="A170">
        <v>2024</v>
      </c>
      <c r="B170" t="s">
        <v>35</v>
      </c>
      <c r="C170">
        <v>545</v>
      </c>
      <c r="D170" t="s">
        <v>10</v>
      </c>
      <c r="E170" s="1">
        <v>3</v>
      </c>
      <c r="F170" s="2" t="s">
        <v>12</v>
      </c>
      <c r="G170" s="2">
        <v>0</v>
      </c>
      <c r="H170" s="2">
        <f t="shared" si="12"/>
        <v>0</v>
      </c>
      <c r="I170" s="2">
        <v>0</v>
      </c>
      <c r="J170" s="2">
        <f t="shared" si="13"/>
        <v>0</v>
      </c>
      <c r="K170" s="1" t="s">
        <v>15</v>
      </c>
      <c r="L170">
        <v>21</v>
      </c>
      <c r="M170">
        <v>16</v>
      </c>
      <c r="N170">
        <v>273.39999999999998</v>
      </c>
      <c r="O170">
        <v>16</v>
      </c>
      <c r="P170">
        <f t="shared" si="14"/>
        <v>336</v>
      </c>
      <c r="Q170">
        <v>1114</v>
      </c>
      <c r="R170">
        <v>139.19999999999999</v>
      </c>
      <c r="S170">
        <f t="shared" si="15"/>
        <v>1253.2</v>
      </c>
      <c r="T170">
        <v>12</v>
      </c>
      <c r="U170" s="3">
        <f t="shared" si="16"/>
        <v>6840.9864268997417</v>
      </c>
      <c r="V170" s="3">
        <f t="shared" si="17"/>
        <v>190.73258148598686</v>
      </c>
    </row>
    <row r="171" spans="1:22" x14ac:dyDescent="0.3">
      <c r="A171">
        <v>2024</v>
      </c>
      <c r="B171" t="s">
        <v>35</v>
      </c>
      <c r="C171">
        <v>545</v>
      </c>
      <c r="D171" t="s">
        <v>10</v>
      </c>
      <c r="E171" s="1">
        <v>3</v>
      </c>
      <c r="F171" s="2" t="s">
        <v>12</v>
      </c>
      <c r="G171" s="2">
        <v>0</v>
      </c>
      <c r="H171" s="2">
        <f t="shared" si="12"/>
        <v>0</v>
      </c>
      <c r="I171" s="2">
        <v>0</v>
      </c>
      <c r="J171" s="2">
        <f t="shared" si="13"/>
        <v>0</v>
      </c>
      <c r="K171" s="1" t="s">
        <v>15</v>
      </c>
      <c r="L171">
        <v>23</v>
      </c>
      <c r="M171">
        <v>14</v>
      </c>
      <c r="N171">
        <v>273.39999999999998</v>
      </c>
      <c r="O171">
        <v>16</v>
      </c>
      <c r="P171">
        <f t="shared" si="14"/>
        <v>322</v>
      </c>
      <c r="Q171">
        <v>1114</v>
      </c>
      <c r="R171">
        <v>139.19999999999999</v>
      </c>
      <c r="S171">
        <f t="shared" si="15"/>
        <v>1253.2</v>
      </c>
      <c r="T171">
        <v>12</v>
      </c>
      <c r="U171" s="3">
        <f t="shared" si="16"/>
        <v>6840.9864268997417</v>
      </c>
      <c r="V171" s="3">
        <f t="shared" si="17"/>
        <v>190.73258148598686</v>
      </c>
    </row>
    <row r="172" spans="1:22" x14ac:dyDescent="0.3">
      <c r="A172">
        <v>2024</v>
      </c>
      <c r="B172" t="s">
        <v>35</v>
      </c>
      <c r="C172">
        <v>545</v>
      </c>
      <c r="D172" t="s">
        <v>10</v>
      </c>
      <c r="E172" s="1">
        <v>3</v>
      </c>
      <c r="F172" s="2" t="s">
        <v>12</v>
      </c>
      <c r="G172" s="2">
        <v>0</v>
      </c>
      <c r="H172" s="2">
        <f t="shared" si="12"/>
        <v>0</v>
      </c>
      <c r="I172" s="2">
        <v>0</v>
      </c>
      <c r="J172" s="2">
        <f t="shared" si="13"/>
        <v>0</v>
      </c>
      <c r="K172" s="1" t="s">
        <v>15</v>
      </c>
      <c r="L172">
        <v>18</v>
      </c>
      <c r="M172">
        <v>17</v>
      </c>
      <c r="N172">
        <v>273.39999999999998</v>
      </c>
      <c r="O172">
        <v>16</v>
      </c>
      <c r="P172">
        <f t="shared" si="14"/>
        <v>306</v>
      </c>
      <c r="Q172">
        <v>1114</v>
      </c>
      <c r="R172">
        <v>139.19999999999999</v>
      </c>
      <c r="S172">
        <f t="shared" si="15"/>
        <v>1253.2</v>
      </c>
      <c r="T172">
        <v>12</v>
      </c>
      <c r="U172" s="3">
        <f t="shared" si="16"/>
        <v>6840.9864268997417</v>
      </c>
      <c r="V172" s="3">
        <f t="shared" si="17"/>
        <v>190.73258148598686</v>
      </c>
    </row>
    <row r="173" spans="1:22" x14ac:dyDescent="0.3">
      <c r="A173">
        <v>2024</v>
      </c>
      <c r="B173" t="s">
        <v>35</v>
      </c>
      <c r="C173">
        <v>545</v>
      </c>
      <c r="D173" t="s">
        <v>10</v>
      </c>
      <c r="E173" s="1">
        <v>3</v>
      </c>
      <c r="F173" s="2" t="s">
        <v>12</v>
      </c>
      <c r="G173" s="2">
        <v>0</v>
      </c>
      <c r="H173" s="2">
        <f t="shared" si="12"/>
        <v>0</v>
      </c>
      <c r="I173" s="2">
        <v>0</v>
      </c>
      <c r="J173" s="2">
        <f t="shared" si="13"/>
        <v>0</v>
      </c>
      <c r="K173" s="1" t="s">
        <v>15</v>
      </c>
      <c r="L173">
        <v>18</v>
      </c>
      <c r="M173">
        <v>16</v>
      </c>
      <c r="N173">
        <v>273.39999999999998</v>
      </c>
      <c r="O173">
        <v>16</v>
      </c>
      <c r="P173">
        <f t="shared" si="14"/>
        <v>288</v>
      </c>
      <c r="Q173">
        <v>1114</v>
      </c>
      <c r="R173">
        <v>139.19999999999999</v>
      </c>
      <c r="S173">
        <f t="shared" si="15"/>
        <v>1253.2</v>
      </c>
      <c r="T173">
        <v>12</v>
      </c>
      <c r="U173" s="3">
        <f t="shared" si="16"/>
        <v>6840.9864268997417</v>
      </c>
      <c r="V173" s="3">
        <f t="shared" si="17"/>
        <v>190.73258148598686</v>
      </c>
    </row>
    <row r="174" spans="1:22" x14ac:dyDescent="0.3">
      <c r="A174">
        <v>2024</v>
      </c>
      <c r="B174" t="s">
        <v>35</v>
      </c>
      <c r="C174">
        <v>545</v>
      </c>
      <c r="D174" t="s">
        <v>10</v>
      </c>
      <c r="E174" s="1">
        <v>3</v>
      </c>
      <c r="F174" s="2" t="s">
        <v>12</v>
      </c>
      <c r="G174" s="2">
        <v>0</v>
      </c>
      <c r="H174" s="2">
        <f t="shared" si="12"/>
        <v>0</v>
      </c>
      <c r="I174" s="2">
        <v>0</v>
      </c>
      <c r="J174" s="2">
        <f t="shared" si="13"/>
        <v>0</v>
      </c>
      <c r="K174" s="1" t="s">
        <v>15</v>
      </c>
      <c r="L174">
        <v>29</v>
      </c>
      <c r="M174">
        <v>18</v>
      </c>
      <c r="N174">
        <v>273.39999999999998</v>
      </c>
      <c r="O174">
        <v>16</v>
      </c>
      <c r="P174">
        <f t="shared" si="14"/>
        <v>522</v>
      </c>
      <c r="Q174">
        <v>1114</v>
      </c>
      <c r="R174">
        <v>139.19999999999999</v>
      </c>
      <c r="S174">
        <f t="shared" si="15"/>
        <v>1253.2</v>
      </c>
      <c r="T174">
        <v>12</v>
      </c>
      <c r="U174" s="3">
        <f t="shared" si="16"/>
        <v>6840.9864268997417</v>
      </c>
      <c r="V174" s="3">
        <f t="shared" si="17"/>
        <v>190.73258148598686</v>
      </c>
    </row>
    <row r="175" spans="1:22" x14ac:dyDescent="0.3">
      <c r="A175">
        <v>2024</v>
      </c>
      <c r="B175" t="s">
        <v>35</v>
      </c>
      <c r="C175">
        <v>545</v>
      </c>
      <c r="D175" t="s">
        <v>10</v>
      </c>
      <c r="E175" s="1">
        <v>3</v>
      </c>
      <c r="F175" s="2" t="s">
        <v>12</v>
      </c>
      <c r="G175" s="2">
        <v>0</v>
      </c>
      <c r="H175" s="2">
        <f t="shared" si="12"/>
        <v>0</v>
      </c>
      <c r="I175" s="2">
        <v>0</v>
      </c>
      <c r="J175" s="2">
        <f t="shared" si="13"/>
        <v>0</v>
      </c>
      <c r="K175" s="1" t="s">
        <v>15</v>
      </c>
      <c r="L175">
        <v>22</v>
      </c>
      <c r="M175">
        <v>18</v>
      </c>
      <c r="N175">
        <v>273.39999999999998</v>
      </c>
      <c r="O175">
        <v>16</v>
      </c>
      <c r="P175">
        <f t="shared" si="14"/>
        <v>396</v>
      </c>
      <c r="Q175">
        <v>1114</v>
      </c>
      <c r="R175">
        <v>139.19999999999999</v>
      </c>
      <c r="S175">
        <f t="shared" si="15"/>
        <v>1253.2</v>
      </c>
      <c r="T175">
        <v>12</v>
      </c>
      <c r="U175" s="3">
        <f t="shared" si="16"/>
        <v>6840.9864268997417</v>
      </c>
      <c r="V175" s="3">
        <f t="shared" si="17"/>
        <v>190.73258148598686</v>
      </c>
    </row>
    <row r="176" spans="1:22" x14ac:dyDescent="0.3">
      <c r="A176">
        <v>2024</v>
      </c>
      <c r="B176" t="s">
        <v>35</v>
      </c>
      <c r="C176">
        <v>545</v>
      </c>
      <c r="D176" t="s">
        <v>10</v>
      </c>
      <c r="E176" s="1">
        <v>3</v>
      </c>
      <c r="F176" s="2" t="s">
        <v>12</v>
      </c>
      <c r="G176" s="2">
        <v>0</v>
      </c>
      <c r="H176" s="2">
        <f t="shared" si="12"/>
        <v>0</v>
      </c>
      <c r="I176" s="2">
        <v>0</v>
      </c>
      <c r="J176" s="2">
        <f t="shared" si="13"/>
        <v>0</v>
      </c>
      <c r="K176" s="1" t="s">
        <v>15</v>
      </c>
      <c r="L176">
        <v>27</v>
      </c>
      <c r="M176">
        <v>16</v>
      </c>
      <c r="N176">
        <v>273.39999999999998</v>
      </c>
      <c r="O176">
        <v>16</v>
      </c>
      <c r="P176">
        <f t="shared" si="14"/>
        <v>432</v>
      </c>
      <c r="Q176">
        <v>1114</v>
      </c>
      <c r="R176">
        <v>139.19999999999999</v>
      </c>
      <c r="S176">
        <f t="shared" si="15"/>
        <v>1253.2</v>
      </c>
      <c r="T176">
        <v>12</v>
      </c>
      <c r="U176" s="3">
        <f t="shared" si="16"/>
        <v>6840.9864268997417</v>
      </c>
      <c r="V176" s="3">
        <f t="shared" si="17"/>
        <v>190.73258148598686</v>
      </c>
    </row>
    <row r="177" spans="1:22" x14ac:dyDescent="0.3">
      <c r="A177">
        <v>2024</v>
      </c>
      <c r="B177" t="s">
        <v>35</v>
      </c>
      <c r="C177">
        <v>545</v>
      </c>
      <c r="D177" t="s">
        <v>10</v>
      </c>
      <c r="E177" s="1">
        <v>3</v>
      </c>
      <c r="F177" s="2" t="s">
        <v>12</v>
      </c>
      <c r="G177" s="2">
        <v>0</v>
      </c>
      <c r="H177" s="2">
        <f t="shared" si="12"/>
        <v>0</v>
      </c>
      <c r="I177" s="2">
        <v>0</v>
      </c>
      <c r="J177" s="2">
        <f t="shared" si="13"/>
        <v>0</v>
      </c>
      <c r="K177" s="1" t="s">
        <v>15</v>
      </c>
      <c r="L177">
        <v>14</v>
      </c>
      <c r="M177">
        <v>18</v>
      </c>
      <c r="N177">
        <v>273.39999999999998</v>
      </c>
      <c r="O177">
        <v>16</v>
      </c>
      <c r="P177">
        <f t="shared" si="14"/>
        <v>252</v>
      </c>
      <c r="Q177">
        <v>1114</v>
      </c>
      <c r="R177">
        <v>139.19999999999999</v>
      </c>
      <c r="S177">
        <f t="shared" si="15"/>
        <v>1253.2</v>
      </c>
      <c r="T177">
        <v>12</v>
      </c>
      <c r="U177" s="3">
        <f t="shared" si="16"/>
        <v>6840.9864268997417</v>
      </c>
      <c r="V177" s="3">
        <f t="shared" si="17"/>
        <v>190.73258148598686</v>
      </c>
    </row>
    <row r="178" spans="1:22" x14ac:dyDescent="0.3">
      <c r="A178">
        <v>2024</v>
      </c>
      <c r="B178" t="s">
        <v>35</v>
      </c>
      <c r="C178">
        <v>546</v>
      </c>
      <c r="D178" t="s">
        <v>10</v>
      </c>
      <c r="E178" s="1">
        <v>3</v>
      </c>
      <c r="F178" s="2" t="s">
        <v>11</v>
      </c>
      <c r="G178" s="2" t="s">
        <v>14</v>
      </c>
      <c r="H178" s="2">
        <f t="shared" si="12"/>
        <v>100</v>
      </c>
      <c r="I178" s="2">
        <v>236</v>
      </c>
      <c r="J178" s="2">
        <f t="shared" si="13"/>
        <v>336</v>
      </c>
      <c r="K178" s="1" t="s">
        <v>15</v>
      </c>
      <c r="L178">
        <v>28</v>
      </c>
      <c r="M178">
        <v>18</v>
      </c>
      <c r="N178">
        <v>277.2</v>
      </c>
      <c r="O178">
        <v>21</v>
      </c>
      <c r="P178">
        <f t="shared" si="14"/>
        <v>504</v>
      </c>
      <c r="Q178">
        <v>1729</v>
      </c>
      <c r="R178">
        <v>232.4</v>
      </c>
      <c r="S178">
        <f t="shared" si="15"/>
        <v>1961.4</v>
      </c>
      <c r="T178">
        <v>12</v>
      </c>
      <c r="U178" s="3">
        <f t="shared" si="16"/>
        <v>8089.640442581619</v>
      </c>
      <c r="V178" s="3">
        <f t="shared" si="17"/>
        <v>225.54612867523034</v>
      </c>
    </row>
    <row r="179" spans="1:22" x14ac:dyDescent="0.3">
      <c r="A179">
        <v>2024</v>
      </c>
      <c r="B179" t="s">
        <v>35</v>
      </c>
      <c r="C179">
        <v>546</v>
      </c>
      <c r="D179" t="s">
        <v>10</v>
      </c>
      <c r="E179" s="1">
        <v>3</v>
      </c>
      <c r="F179" s="2" t="s">
        <v>11</v>
      </c>
      <c r="G179" s="2" t="s">
        <v>14</v>
      </c>
      <c r="H179" s="2">
        <f t="shared" si="12"/>
        <v>100</v>
      </c>
      <c r="I179" s="2">
        <v>236</v>
      </c>
      <c r="J179" s="2">
        <f t="shared" si="13"/>
        <v>336</v>
      </c>
      <c r="K179" s="1" t="s">
        <v>15</v>
      </c>
      <c r="L179">
        <v>16</v>
      </c>
      <c r="M179">
        <v>15</v>
      </c>
      <c r="N179">
        <v>277.2</v>
      </c>
      <c r="O179">
        <v>21</v>
      </c>
      <c r="P179">
        <f t="shared" si="14"/>
        <v>240</v>
      </c>
      <c r="Q179">
        <v>1729</v>
      </c>
      <c r="R179">
        <v>232.4</v>
      </c>
      <c r="S179">
        <f t="shared" si="15"/>
        <v>1961.4</v>
      </c>
      <c r="T179">
        <v>12</v>
      </c>
      <c r="U179" s="3">
        <f t="shared" si="16"/>
        <v>8089.640442581619</v>
      </c>
      <c r="V179" s="3">
        <f t="shared" si="17"/>
        <v>225.54612867523034</v>
      </c>
    </row>
    <row r="180" spans="1:22" x14ac:dyDescent="0.3">
      <c r="A180">
        <v>2024</v>
      </c>
      <c r="B180" t="s">
        <v>35</v>
      </c>
      <c r="C180">
        <v>546</v>
      </c>
      <c r="D180" t="s">
        <v>10</v>
      </c>
      <c r="E180" s="1">
        <v>3</v>
      </c>
      <c r="F180" s="2" t="s">
        <v>11</v>
      </c>
      <c r="G180" s="2" t="s">
        <v>14</v>
      </c>
      <c r="H180" s="2">
        <f t="shared" si="12"/>
        <v>100</v>
      </c>
      <c r="I180" s="2">
        <v>236</v>
      </c>
      <c r="J180" s="2">
        <f t="shared" si="13"/>
        <v>336</v>
      </c>
      <c r="K180" s="1" t="s">
        <v>15</v>
      </c>
      <c r="L180">
        <v>29</v>
      </c>
      <c r="M180">
        <v>16</v>
      </c>
      <c r="N180">
        <v>277.2</v>
      </c>
      <c r="O180">
        <v>21</v>
      </c>
      <c r="P180">
        <f t="shared" si="14"/>
        <v>464</v>
      </c>
      <c r="Q180">
        <v>1729</v>
      </c>
      <c r="R180">
        <v>232.4</v>
      </c>
      <c r="S180">
        <f t="shared" si="15"/>
        <v>1961.4</v>
      </c>
      <c r="T180">
        <v>12</v>
      </c>
      <c r="U180" s="3">
        <f t="shared" si="16"/>
        <v>8089.640442581619</v>
      </c>
      <c r="V180" s="3">
        <f t="shared" si="17"/>
        <v>225.54612867523034</v>
      </c>
    </row>
    <row r="181" spans="1:22" x14ac:dyDescent="0.3">
      <c r="A181">
        <v>2024</v>
      </c>
      <c r="B181" t="s">
        <v>35</v>
      </c>
      <c r="C181">
        <v>546</v>
      </c>
      <c r="D181" t="s">
        <v>10</v>
      </c>
      <c r="E181" s="1">
        <v>3</v>
      </c>
      <c r="F181" s="2" t="s">
        <v>11</v>
      </c>
      <c r="G181" s="2" t="s">
        <v>14</v>
      </c>
      <c r="H181" s="2">
        <f t="shared" si="12"/>
        <v>100</v>
      </c>
      <c r="I181" s="2">
        <v>236</v>
      </c>
      <c r="J181" s="2">
        <f t="shared" si="13"/>
        <v>336</v>
      </c>
      <c r="K181" s="1" t="s">
        <v>15</v>
      </c>
      <c r="L181">
        <v>26</v>
      </c>
      <c r="M181">
        <v>18</v>
      </c>
      <c r="N181">
        <v>277.2</v>
      </c>
      <c r="O181">
        <v>21</v>
      </c>
      <c r="P181">
        <f t="shared" si="14"/>
        <v>468</v>
      </c>
      <c r="Q181">
        <v>1729</v>
      </c>
      <c r="R181">
        <v>232.4</v>
      </c>
      <c r="S181">
        <f t="shared" si="15"/>
        <v>1961.4</v>
      </c>
      <c r="T181">
        <v>12</v>
      </c>
      <c r="U181" s="3">
        <f t="shared" si="16"/>
        <v>8089.640442581619</v>
      </c>
      <c r="V181" s="3">
        <f t="shared" si="17"/>
        <v>225.54612867523034</v>
      </c>
    </row>
    <row r="182" spans="1:22" x14ac:dyDescent="0.3">
      <c r="A182">
        <v>2024</v>
      </c>
      <c r="B182" t="s">
        <v>35</v>
      </c>
      <c r="C182">
        <v>546</v>
      </c>
      <c r="D182" t="s">
        <v>10</v>
      </c>
      <c r="E182" s="1">
        <v>3</v>
      </c>
      <c r="F182" s="2" t="s">
        <v>11</v>
      </c>
      <c r="G182" s="2" t="s">
        <v>14</v>
      </c>
      <c r="H182" s="2">
        <f t="shared" si="12"/>
        <v>100</v>
      </c>
      <c r="I182" s="2">
        <v>236</v>
      </c>
      <c r="J182" s="2">
        <f t="shared" si="13"/>
        <v>336</v>
      </c>
      <c r="K182" s="1" t="s">
        <v>15</v>
      </c>
      <c r="L182">
        <v>34</v>
      </c>
      <c r="M182">
        <v>15</v>
      </c>
      <c r="N182">
        <v>277.2</v>
      </c>
      <c r="O182">
        <v>21</v>
      </c>
      <c r="P182">
        <f t="shared" si="14"/>
        <v>510</v>
      </c>
      <c r="Q182">
        <v>1729</v>
      </c>
      <c r="R182">
        <v>232.4</v>
      </c>
      <c r="S182">
        <f t="shared" si="15"/>
        <v>1961.4</v>
      </c>
      <c r="T182">
        <v>12</v>
      </c>
      <c r="U182" s="3">
        <f t="shared" si="16"/>
        <v>8089.640442581619</v>
      </c>
      <c r="V182" s="3">
        <f t="shared" si="17"/>
        <v>225.54612867523034</v>
      </c>
    </row>
    <row r="183" spans="1:22" x14ac:dyDescent="0.3">
      <c r="A183">
        <v>2024</v>
      </c>
      <c r="B183" t="s">
        <v>35</v>
      </c>
      <c r="C183">
        <v>546</v>
      </c>
      <c r="D183" t="s">
        <v>10</v>
      </c>
      <c r="E183" s="1">
        <v>3</v>
      </c>
      <c r="F183" s="2" t="s">
        <v>11</v>
      </c>
      <c r="G183" s="2" t="s">
        <v>14</v>
      </c>
      <c r="H183" s="2">
        <f t="shared" si="12"/>
        <v>100</v>
      </c>
      <c r="I183" s="2">
        <v>236</v>
      </c>
      <c r="J183" s="2">
        <f t="shared" si="13"/>
        <v>336</v>
      </c>
      <c r="K183" s="1" t="s">
        <v>15</v>
      </c>
      <c r="L183">
        <v>33</v>
      </c>
      <c r="M183">
        <v>16</v>
      </c>
      <c r="N183">
        <v>277.2</v>
      </c>
      <c r="O183">
        <v>21</v>
      </c>
      <c r="P183">
        <f t="shared" si="14"/>
        <v>528</v>
      </c>
      <c r="Q183">
        <v>1729</v>
      </c>
      <c r="R183">
        <v>232.4</v>
      </c>
      <c r="S183">
        <f t="shared" si="15"/>
        <v>1961.4</v>
      </c>
      <c r="T183">
        <v>12</v>
      </c>
      <c r="U183" s="3">
        <f t="shared" si="16"/>
        <v>8089.640442581619</v>
      </c>
      <c r="V183" s="3">
        <f t="shared" si="17"/>
        <v>225.54612867523034</v>
      </c>
    </row>
    <row r="184" spans="1:22" x14ac:dyDescent="0.3">
      <c r="A184">
        <v>2024</v>
      </c>
      <c r="B184" t="s">
        <v>35</v>
      </c>
      <c r="C184">
        <v>546</v>
      </c>
      <c r="D184" t="s">
        <v>10</v>
      </c>
      <c r="E184" s="1">
        <v>3</v>
      </c>
      <c r="F184" s="2" t="s">
        <v>11</v>
      </c>
      <c r="G184" s="2" t="s">
        <v>14</v>
      </c>
      <c r="H184" s="2">
        <f t="shared" si="12"/>
        <v>100</v>
      </c>
      <c r="I184" s="2">
        <v>236</v>
      </c>
      <c r="J184" s="2">
        <f t="shared" si="13"/>
        <v>336</v>
      </c>
      <c r="K184" s="1" t="s">
        <v>15</v>
      </c>
      <c r="L184">
        <v>33</v>
      </c>
      <c r="M184">
        <v>16</v>
      </c>
      <c r="N184">
        <v>277.2</v>
      </c>
      <c r="O184">
        <v>21</v>
      </c>
      <c r="P184">
        <f t="shared" si="14"/>
        <v>528</v>
      </c>
      <c r="Q184">
        <v>1729</v>
      </c>
      <c r="R184">
        <v>232.4</v>
      </c>
      <c r="S184">
        <f t="shared" si="15"/>
        <v>1961.4</v>
      </c>
      <c r="T184">
        <v>12</v>
      </c>
      <c r="U184" s="3">
        <f t="shared" si="16"/>
        <v>8089.640442581619</v>
      </c>
      <c r="V184" s="3">
        <f t="shared" si="17"/>
        <v>225.54612867523034</v>
      </c>
    </row>
    <row r="185" spans="1:22" x14ac:dyDescent="0.3">
      <c r="A185">
        <v>2024</v>
      </c>
      <c r="B185" t="s">
        <v>35</v>
      </c>
      <c r="C185">
        <v>546</v>
      </c>
      <c r="D185" t="s">
        <v>10</v>
      </c>
      <c r="E185" s="1">
        <v>3</v>
      </c>
      <c r="F185" s="2" t="s">
        <v>11</v>
      </c>
      <c r="G185" s="2" t="s">
        <v>14</v>
      </c>
      <c r="H185" s="2">
        <f t="shared" si="12"/>
        <v>100</v>
      </c>
      <c r="I185" s="2">
        <v>236</v>
      </c>
      <c r="J185" s="2">
        <f t="shared" si="13"/>
        <v>336</v>
      </c>
      <c r="K185" s="1" t="s">
        <v>15</v>
      </c>
      <c r="L185">
        <v>21</v>
      </c>
      <c r="M185">
        <v>14</v>
      </c>
      <c r="N185">
        <v>277.2</v>
      </c>
      <c r="O185">
        <v>21</v>
      </c>
      <c r="P185">
        <f t="shared" si="14"/>
        <v>294</v>
      </c>
      <c r="Q185">
        <v>1729</v>
      </c>
      <c r="R185">
        <v>232.4</v>
      </c>
      <c r="S185">
        <f t="shared" si="15"/>
        <v>1961.4</v>
      </c>
      <c r="T185">
        <v>12</v>
      </c>
      <c r="U185" s="3">
        <f t="shared" si="16"/>
        <v>8089.640442581619</v>
      </c>
      <c r="V185" s="3">
        <f t="shared" si="17"/>
        <v>225.54612867523034</v>
      </c>
    </row>
    <row r="186" spans="1:22" x14ac:dyDescent="0.3">
      <c r="A186">
        <v>2024</v>
      </c>
      <c r="B186" t="s">
        <v>35</v>
      </c>
      <c r="C186">
        <v>546</v>
      </c>
      <c r="D186" t="s">
        <v>10</v>
      </c>
      <c r="E186" s="1">
        <v>3</v>
      </c>
      <c r="F186" s="2" t="s">
        <v>11</v>
      </c>
      <c r="G186" s="2" t="s">
        <v>14</v>
      </c>
      <c r="H186" s="2">
        <f t="shared" si="12"/>
        <v>100</v>
      </c>
      <c r="I186" s="2">
        <v>236</v>
      </c>
      <c r="J186" s="2">
        <f t="shared" si="13"/>
        <v>336</v>
      </c>
      <c r="K186" s="1" t="s">
        <v>15</v>
      </c>
      <c r="L186">
        <v>29</v>
      </c>
      <c r="M186">
        <v>16</v>
      </c>
      <c r="N186">
        <v>277.2</v>
      </c>
      <c r="O186">
        <v>21</v>
      </c>
      <c r="P186">
        <f t="shared" si="14"/>
        <v>464</v>
      </c>
      <c r="Q186">
        <v>1729</v>
      </c>
      <c r="R186">
        <v>232.4</v>
      </c>
      <c r="S186">
        <f t="shared" si="15"/>
        <v>1961.4</v>
      </c>
      <c r="T186">
        <v>12</v>
      </c>
      <c r="U186" s="3">
        <f t="shared" si="16"/>
        <v>8089.640442581619</v>
      </c>
      <c r="V186" s="3">
        <f t="shared" si="17"/>
        <v>225.54612867523034</v>
      </c>
    </row>
    <row r="187" spans="1:22" x14ac:dyDescent="0.3">
      <c r="A187">
        <v>2024</v>
      </c>
      <c r="B187" t="s">
        <v>35</v>
      </c>
      <c r="C187">
        <v>546</v>
      </c>
      <c r="D187" t="s">
        <v>10</v>
      </c>
      <c r="E187" s="1">
        <v>3</v>
      </c>
      <c r="F187" s="2" t="s">
        <v>11</v>
      </c>
      <c r="G187" s="2" t="s">
        <v>14</v>
      </c>
      <c r="H187" s="2">
        <f t="shared" si="12"/>
        <v>100</v>
      </c>
      <c r="I187" s="2">
        <v>236</v>
      </c>
      <c r="J187" s="2">
        <f t="shared" si="13"/>
        <v>336</v>
      </c>
      <c r="K187" s="1" t="s">
        <v>15</v>
      </c>
      <c r="L187">
        <v>28</v>
      </c>
      <c r="M187">
        <v>18</v>
      </c>
      <c r="N187">
        <v>277.2</v>
      </c>
      <c r="O187">
        <v>21</v>
      </c>
      <c r="P187">
        <f t="shared" si="14"/>
        <v>504</v>
      </c>
      <c r="Q187">
        <v>1729</v>
      </c>
      <c r="R187">
        <v>232.4</v>
      </c>
      <c r="S187">
        <f t="shared" si="15"/>
        <v>1961.4</v>
      </c>
      <c r="T187">
        <v>12</v>
      </c>
      <c r="U187" s="3">
        <f t="shared" si="16"/>
        <v>8089.640442581619</v>
      </c>
      <c r="V187" s="3">
        <f t="shared" si="17"/>
        <v>225.54612867523034</v>
      </c>
    </row>
    <row r="188" spans="1:22" x14ac:dyDescent="0.3">
      <c r="A188">
        <v>2024</v>
      </c>
      <c r="B188" t="s">
        <v>35</v>
      </c>
      <c r="C188">
        <v>546</v>
      </c>
      <c r="D188" t="s">
        <v>10</v>
      </c>
      <c r="E188" s="1">
        <v>3</v>
      </c>
      <c r="F188" s="2" t="s">
        <v>11</v>
      </c>
      <c r="G188" s="2" t="s">
        <v>14</v>
      </c>
      <c r="H188" s="2">
        <f t="shared" si="12"/>
        <v>100</v>
      </c>
      <c r="I188" s="2">
        <v>236</v>
      </c>
      <c r="J188" s="2">
        <f t="shared" si="13"/>
        <v>336</v>
      </c>
      <c r="K188" s="1" t="s">
        <v>15</v>
      </c>
      <c r="L188">
        <v>26</v>
      </c>
      <c r="M188">
        <v>18</v>
      </c>
      <c r="N188">
        <v>277.2</v>
      </c>
      <c r="O188">
        <v>21</v>
      </c>
      <c r="P188">
        <f t="shared" si="14"/>
        <v>468</v>
      </c>
      <c r="Q188">
        <v>1729</v>
      </c>
      <c r="R188">
        <v>232.4</v>
      </c>
      <c r="S188">
        <f t="shared" si="15"/>
        <v>1961.4</v>
      </c>
      <c r="T188">
        <v>12</v>
      </c>
      <c r="U188" s="3">
        <f t="shared" si="16"/>
        <v>8089.640442581619</v>
      </c>
      <c r="V188" s="3">
        <f t="shared" si="17"/>
        <v>225.54612867523034</v>
      </c>
    </row>
    <row r="189" spans="1:22" x14ac:dyDescent="0.3">
      <c r="A189">
        <v>2024</v>
      </c>
      <c r="B189" t="s">
        <v>35</v>
      </c>
      <c r="C189">
        <v>546</v>
      </c>
      <c r="D189" t="s">
        <v>10</v>
      </c>
      <c r="E189" s="1">
        <v>3</v>
      </c>
      <c r="F189" s="2" t="s">
        <v>11</v>
      </c>
      <c r="G189" s="2" t="s">
        <v>14</v>
      </c>
      <c r="H189" s="2">
        <f t="shared" si="12"/>
        <v>100</v>
      </c>
      <c r="I189" s="2">
        <v>236</v>
      </c>
      <c r="J189" s="2">
        <f t="shared" si="13"/>
        <v>336</v>
      </c>
      <c r="K189" s="1" t="s">
        <v>15</v>
      </c>
      <c r="L189">
        <v>21</v>
      </c>
      <c r="M189">
        <v>18</v>
      </c>
      <c r="N189">
        <v>277.2</v>
      </c>
      <c r="O189">
        <v>21</v>
      </c>
      <c r="P189">
        <f t="shared" si="14"/>
        <v>378</v>
      </c>
      <c r="Q189">
        <v>1729</v>
      </c>
      <c r="R189">
        <v>232.4</v>
      </c>
      <c r="S189">
        <f t="shared" si="15"/>
        <v>1961.4</v>
      </c>
      <c r="T189">
        <v>12</v>
      </c>
      <c r="U189" s="3">
        <f t="shared" si="16"/>
        <v>8089.640442581619</v>
      </c>
      <c r="V189" s="3">
        <f t="shared" si="17"/>
        <v>225.54612867523034</v>
      </c>
    </row>
    <row r="190" spans="1:22" x14ac:dyDescent="0.3">
      <c r="A190">
        <v>2024</v>
      </c>
      <c r="B190" t="s">
        <v>35</v>
      </c>
      <c r="C190">
        <v>547</v>
      </c>
      <c r="D190" t="s">
        <v>10</v>
      </c>
      <c r="E190" s="1">
        <v>3</v>
      </c>
      <c r="F190" s="2" t="s">
        <v>11</v>
      </c>
      <c r="G190" s="2">
        <v>0</v>
      </c>
      <c r="H190" s="2">
        <f t="shared" si="12"/>
        <v>0</v>
      </c>
      <c r="I190" s="2">
        <v>0</v>
      </c>
      <c r="J190" s="2">
        <f t="shared" si="13"/>
        <v>0</v>
      </c>
      <c r="K190" s="1" t="s">
        <v>15</v>
      </c>
      <c r="L190">
        <v>26</v>
      </c>
      <c r="M190">
        <v>16</v>
      </c>
      <c r="N190">
        <v>299.2</v>
      </c>
      <c r="O190">
        <v>16.899999999999999</v>
      </c>
      <c r="P190">
        <f t="shared" si="14"/>
        <v>416</v>
      </c>
      <c r="Q190">
        <v>1267.7</v>
      </c>
      <c r="R190">
        <v>163.1</v>
      </c>
      <c r="S190">
        <f t="shared" si="15"/>
        <v>1430.8</v>
      </c>
      <c r="T190">
        <v>12</v>
      </c>
      <c r="U190" s="3">
        <f t="shared" si="16"/>
        <v>7370.2684443336993</v>
      </c>
      <c r="V190" s="3">
        <f t="shared" si="17"/>
        <v>205.48941905583419</v>
      </c>
    </row>
    <row r="191" spans="1:22" x14ac:dyDescent="0.3">
      <c r="A191">
        <v>2024</v>
      </c>
      <c r="B191" t="s">
        <v>35</v>
      </c>
      <c r="C191">
        <v>547</v>
      </c>
      <c r="D191" t="s">
        <v>10</v>
      </c>
      <c r="E191" s="1">
        <v>3</v>
      </c>
      <c r="F191" s="2" t="s">
        <v>11</v>
      </c>
      <c r="G191" s="2">
        <v>0</v>
      </c>
      <c r="H191" s="2">
        <f t="shared" si="12"/>
        <v>0</v>
      </c>
      <c r="I191" s="2">
        <v>0</v>
      </c>
      <c r="J191" s="2">
        <f t="shared" si="13"/>
        <v>0</v>
      </c>
      <c r="K191" s="1" t="s">
        <v>15</v>
      </c>
      <c r="L191">
        <v>31</v>
      </c>
      <c r="M191">
        <v>18</v>
      </c>
      <c r="N191">
        <v>299.2</v>
      </c>
      <c r="O191">
        <v>16.899999999999999</v>
      </c>
      <c r="P191">
        <f t="shared" si="14"/>
        <v>558</v>
      </c>
      <c r="Q191">
        <v>1267.7</v>
      </c>
      <c r="R191">
        <v>163.1</v>
      </c>
      <c r="S191">
        <f t="shared" si="15"/>
        <v>1430.8</v>
      </c>
      <c r="T191">
        <v>12</v>
      </c>
      <c r="U191" s="3">
        <f t="shared" si="16"/>
        <v>7370.2684443336993</v>
      </c>
      <c r="V191" s="3">
        <f t="shared" si="17"/>
        <v>205.48941905583419</v>
      </c>
    </row>
    <row r="192" spans="1:22" x14ac:dyDescent="0.3">
      <c r="A192">
        <v>2024</v>
      </c>
      <c r="B192" t="s">
        <v>35</v>
      </c>
      <c r="C192">
        <v>547</v>
      </c>
      <c r="D192" t="s">
        <v>10</v>
      </c>
      <c r="E192" s="1">
        <v>3</v>
      </c>
      <c r="F192" s="2" t="s">
        <v>11</v>
      </c>
      <c r="G192" s="2">
        <v>0</v>
      </c>
      <c r="H192" s="2">
        <f t="shared" si="12"/>
        <v>0</v>
      </c>
      <c r="I192" s="2">
        <v>0</v>
      </c>
      <c r="J192" s="2">
        <f t="shared" si="13"/>
        <v>0</v>
      </c>
      <c r="K192" s="1" t="s">
        <v>15</v>
      </c>
      <c r="L192">
        <v>26</v>
      </c>
      <c r="M192">
        <v>18</v>
      </c>
      <c r="N192">
        <v>299.2</v>
      </c>
      <c r="O192">
        <v>16.899999999999999</v>
      </c>
      <c r="P192">
        <f t="shared" si="14"/>
        <v>468</v>
      </c>
      <c r="Q192">
        <v>1267.7</v>
      </c>
      <c r="R192">
        <v>163.1</v>
      </c>
      <c r="S192">
        <f t="shared" si="15"/>
        <v>1430.8</v>
      </c>
      <c r="T192">
        <v>12</v>
      </c>
      <c r="U192" s="3">
        <f t="shared" si="16"/>
        <v>7370.2684443336993</v>
      </c>
      <c r="V192" s="3">
        <f t="shared" si="17"/>
        <v>205.48941905583419</v>
      </c>
    </row>
    <row r="193" spans="1:22" x14ac:dyDescent="0.3">
      <c r="A193">
        <v>2024</v>
      </c>
      <c r="B193" t="s">
        <v>35</v>
      </c>
      <c r="C193">
        <v>547</v>
      </c>
      <c r="D193" t="s">
        <v>10</v>
      </c>
      <c r="E193" s="1">
        <v>3</v>
      </c>
      <c r="F193" s="2" t="s">
        <v>11</v>
      </c>
      <c r="G193" s="2">
        <v>0</v>
      </c>
      <c r="H193" s="2">
        <f t="shared" si="12"/>
        <v>0</v>
      </c>
      <c r="I193" s="2">
        <v>0</v>
      </c>
      <c r="J193" s="2">
        <f t="shared" si="13"/>
        <v>0</v>
      </c>
      <c r="K193" s="1" t="s">
        <v>15</v>
      </c>
      <c r="L193">
        <v>27</v>
      </c>
      <c r="M193">
        <v>18</v>
      </c>
      <c r="N193">
        <v>299.2</v>
      </c>
      <c r="O193">
        <v>16.899999999999999</v>
      </c>
      <c r="P193">
        <f t="shared" si="14"/>
        <v>486</v>
      </c>
      <c r="Q193">
        <v>1267.7</v>
      </c>
      <c r="R193">
        <v>163.1</v>
      </c>
      <c r="S193">
        <f t="shared" si="15"/>
        <v>1430.8</v>
      </c>
      <c r="T193">
        <v>12</v>
      </c>
      <c r="U193" s="3">
        <f t="shared" si="16"/>
        <v>7370.2684443336993</v>
      </c>
      <c r="V193" s="3">
        <f t="shared" si="17"/>
        <v>205.48941905583419</v>
      </c>
    </row>
    <row r="194" spans="1:22" x14ac:dyDescent="0.3">
      <c r="A194">
        <v>2024</v>
      </c>
      <c r="B194" t="s">
        <v>35</v>
      </c>
      <c r="C194">
        <v>547</v>
      </c>
      <c r="D194" t="s">
        <v>10</v>
      </c>
      <c r="E194" s="1">
        <v>3</v>
      </c>
      <c r="F194" s="2" t="s">
        <v>11</v>
      </c>
      <c r="G194" s="2">
        <v>0</v>
      </c>
      <c r="H194" s="2">
        <f t="shared" si="12"/>
        <v>0</v>
      </c>
      <c r="I194" s="2">
        <v>0</v>
      </c>
      <c r="J194" s="2">
        <f t="shared" si="13"/>
        <v>0</v>
      </c>
      <c r="K194" s="1" t="s">
        <v>15</v>
      </c>
      <c r="L194">
        <v>24</v>
      </c>
      <c r="M194">
        <v>14</v>
      </c>
      <c r="N194">
        <v>299.2</v>
      </c>
      <c r="O194">
        <v>16.899999999999999</v>
      </c>
      <c r="P194">
        <f t="shared" si="14"/>
        <v>336</v>
      </c>
      <c r="Q194">
        <v>1267.7</v>
      </c>
      <c r="R194">
        <v>163.1</v>
      </c>
      <c r="S194">
        <f t="shared" si="15"/>
        <v>1430.8</v>
      </c>
      <c r="T194">
        <v>12</v>
      </c>
      <c r="U194" s="3">
        <f t="shared" si="16"/>
        <v>7370.2684443336993</v>
      </c>
      <c r="V194" s="3">
        <f t="shared" si="17"/>
        <v>205.48941905583419</v>
      </c>
    </row>
    <row r="195" spans="1:22" x14ac:dyDescent="0.3">
      <c r="A195">
        <v>2024</v>
      </c>
      <c r="B195" t="s">
        <v>35</v>
      </c>
      <c r="C195">
        <v>547</v>
      </c>
      <c r="D195" t="s">
        <v>10</v>
      </c>
      <c r="E195" s="1">
        <v>3</v>
      </c>
      <c r="F195" s="2" t="s">
        <v>11</v>
      </c>
      <c r="G195" s="2">
        <v>0</v>
      </c>
      <c r="H195" s="2">
        <f t="shared" ref="H195:H258" si="18">IF(OR(G195="VRN", G195="CFP"), 100, 0)</f>
        <v>0</v>
      </c>
      <c r="I195" s="2">
        <v>0</v>
      </c>
      <c r="J195" s="2">
        <f t="shared" ref="J195:J258" si="19">H195+I195</f>
        <v>0</v>
      </c>
      <c r="K195" s="1" t="s">
        <v>15</v>
      </c>
      <c r="L195">
        <v>28</v>
      </c>
      <c r="M195">
        <v>16</v>
      </c>
      <c r="N195">
        <v>299.2</v>
      </c>
      <c r="O195">
        <v>16.899999999999999</v>
      </c>
      <c r="P195">
        <f t="shared" ref="P195:P258" si="20">L195*M195</f>
        <v>448</v>
      </c>
      <c r="Q195">
        <v>1267.7</v>
      </c>
      <c r="R195">
        <v>163.1</v>
      </c>
      <c r="S195">
        <f t="shared" ref="S195:S258" si="21">Q195+R195</f>
        <v>1430.8</v>
      </c>
      <c r="T195">
        <v>12</v>
      </c>
      <c r="U195" s="3">
        <f t="shared" ref="U195:U258" si="22">((((Q195/1000)*10000)/1.577532)*15.5)/O195</f>
        <v>7370.2684443336993</v>
      </c>
      <c r="V195" s="3">
        <f t="shared" ref="V195:V258" si="23">U195/35.8669</f>
        <v>205.48941905583419</v>
      </c>
    </row>
    <row r="196" spans="1:22" x14ac:dyDescent="0.3">
      <c r="A196">
        <v>2024</v>
      </c>
      <c r="B196" t="s">
        <v>35</v>
      </c>
      <c r="C196">
        <v>547</v>
      </c>
      <c r="D196" t="s">
        <v>10</v>
      </c>
      <c r="E196" s="1">
        <v>3</v>
      </c>
      <c r="F196" s="2" t="s">
        <v>11</v>
      </c>
      <c r="G196" s="2">
        <v>0</v>
      </c>
      <c r="H196" s="2">
        <f t="shared" si="18"/>
        <v>0</v>
      </c>
      <c r="I196" s="2">
        <v>0</v>
      </c>
      <c r="J196" s="2">
        <f t="shared" si="19"/>
        <v>0</v>
      </c>
      <c r="K196" s="1" t="s">
        <v>15</v>
      </c>
      <c r="L196">
        <v>29</v>
      </c>
      <c r="M196">
        <v>16</v>
      </c>
      <c r="N196">
        <v>299.2</v>
      </c>
      <c r="O196">
        <v>16.899999999999999</v>
      </c>
      <c r="P196">
        <f t="shared" si="20"/>
        <v>464</v>
      </c>
      <c r="Q196">
        <v>1267.7</v>
      </c>
      <c r="R196">
        <v>163.1</v>
      </c>
      <c r="S196">
        <f t="shared" si="21"/>
        <v>1430.8</v>
      </c>
      <c r="T196">
        <v>12</v>
      </c>
      <c r="U196" s="3">
        <f t="shared" si="22"/>
        <v>7370.2684443336993</v>
      </c>
      <c r="V196" s="3">
        <f t="shared" si="23"/>
        <v>205.48941905583419</v>
      </c>
    </row>
    <row r="197" spans="1:22" x14ac:dyDescent="0.3">
      <c r="A197">
        <v>2024</v>
      </c>
      <c r="B197" t="s">
        <v>35</v>
      </c>
      <c r="C197">
        <v>547</v>
      </c>
      <c r="D197" t="s">
        <v>10</v>
      </c>
      <c r="E197" s="1">
        <v>3</v>
      </c>
      <c r="F197" s="2" t="s">
        <v>11</v>
      </c>
      <c r="G197" s="2">
        <v>0</v>
      </c>
      <c r="H197" s="2">
        <f t="shared" si="18"/>
        <v>0</v>
      </c>
      <c r="I197" s="2">
        <v>0</v>
      </c>
      <c r="J197" s="2">
        <f t="shared" si="19"/>
        <v>0</v>
      </c>
      <c r="K197" s="1" t="s">
        <v>15</v>
      </c>
      <c r="L197">
        <v>24</v>
      </c>
      <c r="M197">
        <v>14</v>
      </c>
      <c r="N197">
        <v>299.2</v>
      </c>
      <c r="O197">
        <v>16.899999999999999</v>
      </c>
      <c r="P197">
        <f t="shared" si="20"/>
        <v>336</v>
      </c>
      <c r="Q197">
        <v>1267.7</v>
      </c>
      <c r="R197">
        <v>163.1</v>
      </c>
      <c r="S197">
        <f t="shared" si="21"/>
        <v>1430.8</v>
      </c>
      <c r="T197">
        <v>12</v>
      </c>
      <c r="U197" s="3">
        <f t="shared" si="22"/>
        <v>7370.2684443336993</v>
      </c>
      <c r="V197" s="3">
        <f t="shared" si="23"/>
        <v>205.48941905583419</v>
      </c>
    </row>
    <row r="198" spans="1:22" x14ac:dyDescent="0.3">
      <c r="A198">
        <v>2024</v>
      </c>
      <c r="B198" t="s">
        <v>35</v>
      </c>
      <c r="C198">
        <v>547</v>
      </c>
      <c r="D198" t="s">
        <v>10</v>
      </c>
      <c r="E198" s="1">
        <v>3</v>
      </c>
      <c r="F198" s="2" t="s">
        <v>11</v>
      </c>
      <c r="G198" s="2">
        <v>0</v>
      </c>
      <c r="H198" s="2">
        <f t="shared" si="18"/>
        <v>0</v>
      </c>
      <c r="I198" s="2">
        <v>0</v>
      </c>
      <c r="J198" s="2">
        <f t="shared" si="19"/>
        <v>0</v>
      </c>
      <c r="K198" s="1" t="s">
        <v>15</v>
      </c>
      <c r="L198">
        <v>28</v>
      </c>
      <c r="M198">
        <v>17</v>
      </c>
      <c r="N198">
        <v>299.2</v>
      </c>
      <c r="O198">
        <v>16.899999999999999</v>
      </c>
      <c r="P198">
        <f t="shared" si="20"/>
        <v>476</v>
      </c>
      <c r="Q198">
        <v>1267.7</v>
      </c>
      <c r="R198">
        <v>163.1</v>
      </c>
      <c r="S198">
        <f t="shared" si="21"/>
        <v>1430.8</v>
      </c>
      <c r="T198">
        <v>12</v>
      </c>
      <c r="U198" s="3">
        <f t="shared" si="22"/>
        <v>7370.2684443336993</v>
      </c>
      <c r="V198" s="3">
        <f t="shared" si="23"/>
        <v>205.48941905583419</v>
      </c>
    </row>
    <row r="199" spans="1:22" x14ac:dyDescent="0.3">
      <c r="A199">
        <v>2024</v>
      </c>
      <c r="B199" t="s">
        <v>35</v>
      </c>
      <c r="C199">
        <v>547</v>
      </c>
      <c r="D199" t="s">
        <v>10</v>
      </c>
      <c r="E199" s="1">
        <v>3</v>
      </c>
      <c r="F199" s="2" t="s">
        <v>11</v>
      </c>
      <c r="G199" s="2">
        <v>0</v>
      </c>
      <c r="H199" s="2">
        <f t="shared" si="18"/>
        <v>0</v>
      </c>
      <c r="I199" s="2">
        <v>0</v>
      </c>
      <c r="J199" s="2">
        <f t="shared" si="19"/>
        <v>0</v>
      </c>
      <c r="K199" s="1" t="s">
        <v>15</v>
      </c>
      <c r="L199">
        <v>24</v>
      </c>
      <c r="M199">
        <v>16</v>
      </c>
      <c r="N199">
        <v>299.2</v>
      </c>
      <c r="O199">
        <v>16.899999999999999</v>
      </c>
      <c r="P199">
        <f t="shared" si="20"/>
        <v>384</v>
      </c>
      <c r="Q199">
        <v>1267.7</v>
      </c>
      <c r="R199">
        <v>163.1</v>
      </c>
      <c r="S199">
        <f t="shared" si="21"/>
        <v>1430.8</v>
      </c>
      <c r="T199">
        <v>12</v>
      </c>
      <c r="U199" s="3">
        <f t="shared" si="22"/>
        <v>7370.2684443336993</v>
      </c>
      <c r="V199" s="3">
        <f t="shared" si="23"/>
        <v>205.48941905583419</v>
      </c>
    </row>
    <row r="200" spans="1:22" x14ac:dyDescent="0.3">
      <c r="A200">
        <v>2024</v>
      </c>
      <c r="B200" t="s">
        <v>35</v>
      </c>
      <c r="C200">
        <v>547</v>
      </c>
      <c r="D200" t="s">
        <v>10</v>
      </c>
      <c r="E200" s="1">
        <v>3</v>
      </c>
      <c r="F200" s="2" t="s">
        <v>11</v>
      </c>
      <c r="G200" s="2">
        <v>0</v>
      </c>
      <c r="H200" s="2">
        <f t="shared" si="18"/>
        <v>0</v>
      </c>
      <c r="I200" s="2">
        <v>0</v>
      </c>
      <c r="J200" s="2">
        <f t="shared" si="19"/>
        <v>0</v>
      </c>
      <c r="K200" s="1" t="s">
        <v>15</v>
      </c>
      <c r="L200">
        <v>25</v>
      </c>
      <c r="M200">
        <v>15</v>
      </c>
      <c r="N200">
        <v>299.2</v>
      </c>
      <c r="O200">
        <v>16.899999999999999</v>
      </c>
      <c r="P200">
        <f t="shared" si="20"/>
        <v>375</v>
      </c>
      <c r="Q200">
        <v>1267.7</v>
      </c>
      <c r="R200">
        <v>163.1</v>
      </c>
      <c r="S200">
        <f t="shared" si="21"/>
        <v>1430.8</v>
      </c>
      <c r="T200">
        <v>12</v>
      </c>
      <c r="U200" s="3">
        <f t="shared" si="22"/>
        <v>7370.2684443336993</v>
      </c>
      <c r="V200" s="3">
        <f t="shared" si="23"/>
        <v>205.48941905583419</v>
      </c>
    </row>
    <row r="201" spans="1:22" x14ac:dyDescent="0.3">
      <c r="A201">
        <v>2024</v>
      </c>
      <c r="B201" t="s">
        <v>35</v>
      </c>
      <c r="C201">
        <v>548</v>
      </c>
      <c r="D201" t="s">
        <v>10</v>
      </c>
      <c r="E201" s="1">
        <v>3</v>
      </c>
      <c r="F201" s="2" t="s">
        <v>11</v>
      </c>
      <c r="G201" s="2" t="s">
        <v>13</v>
      </c>
      <c r="H201" s="2">
        <f t="shared" si="18"/>
        <v>100</v>
      </c>
      <c r="I201" s="2">
        <v>35</v>
      </c>
      <c r="J201" s="2">
        <f t="shared" si="19"/>
        <v>135</v>
      </c>
      <c r="K201" s="1" t="s">
        <v>15</v>
      </c>
      <c r="L201">
        <v>34</v>
      </c>
      <c r="M201">
        <v>18</v>
      </c>
      <c r="N201">
        <v>286.3</v>
      </c>
      <c r="O201">
        <v>19.100000000000001</v>
      </c>
      <c r="P201">
        <f t="shared" si="20"/>
        <v>612</v>
      </c>
      <c r="Q201">
        <v>2264.3000000000002</v>
      </c>
      <c r="R201">
        <v>240.3</v>
      </c>
      <c r="S201">
        <f t="shared" si="21"/>
        <v>2504.6000000000004</v>
      </c>
      <c r="T201">
        <v>12</v>
      </c>
      <c r="U201" s="3">
        <f t="shared" si="22"/>
        <v>11648.073968758648</v>
      </c>
      <c r="V201" s="3">
        <f t="shared" si="23"/>
        <v>324.75831389829199</v>
      </c>
    </row>
    <row r="202" spans="1:22" x14ac:dyDescent="0.3">
      <c r="A202">
        <v>2024</v>
      </c>
      <c r="B202" t="s">
        <v>35</v>
      </c>
      <c r="C202">
        <v>548</v>
      </c>
      <c r="D202" t="s">
        <v>10</v>
      </c>
      <c r="E202" s="1">
        <v>3</v>
      </c>
      <c r="F202" s="2" t="s">
        <v>11</v>
      </c>
      <c r="G202" s="2" t="s">
        <v>13</v>
      </c>
      <c r="H202" s="2">
        <f t="shared" si="18"/>
        <v>100</v>
      </c>
      <c r="I202" s="2">
        <v>35</v>
      </c>
      <c r="J202" s="2">
        <f t="shared" si="19"/>
        <v>135</v>
      </c>
      <c r="K202" s="1" t="s">
        <v>15</v>
      </c>
      <c r="L202">
        <v>37</v>
      </c>
      <c r="M202">
        <v>18</v>
      </c>
      <c r="N202">
        <v>286.3</v>
      </c>
      <c r="O202">
        <v>19.100000000000001</v>
      </c>
      <c r="P202">
        <f t="shared" si="20"/>
        <v>666</v>
      </c>
      <c r="Q202">
        <v>2264.3000000000002</v>
      </c>
      <c r="R202">
        <v>240.3</v>
      </c>
      <c r="S202">
        <f t="shared" si="21"/>
        <v>2504.6000000000004</v>
      </c>
      <c r="T202">
        <v>12</v>
      </c>
      <c r="U202" s="3">
        <f t="shared" si="22"/>
        <v>11648.073968758648</v>
      </c>
      <c r="V202" s="3">
        <f t="shared" si="23"/>
        <v>324.75831389829199</v>
      </c>
    </row>
    <row r="203" spans="1:22" x14ac:dyDescent="0.3">
      <c r="A203">
        <v>2024</v>
      </c>
      <c r="B203" t="s">
        <v>35</v>
      </c>
      <c r="C203">
        <v>548</v>
      </c>
      <c r="D203" t="s">
        <v>10</v>
      </c>
      <c r="E203" s="1">
        <v>3</v>
      </c>
      <c r="F203" s="2" t="s">
        <v>11</v>
      </c>
      <c r="G203" s="2" t="s">
        <v>13</v>
      </c>
      <c r="H203" s="2">
        <f t="shared" si="18"/>
        <v>100</v>
      </c>
      <c r="I203" s="2">
        <v>35</v>
      </c>
      <c r="J203" s="2">
        <f t="shared" si="19"/>
        <v>135</v>
      </c>
      <c r="K203" s="1" t="s">
        <v>15</v>
      </c>
      <c r="L203">
        <v>37</v>
      </c>
      <c r="M203">
        <v>20</v>
      </c>
      <c r="N203">
        <v>286.3</v>
      </c>
      <c r="O203">
        <v>19.100000000000001</v>
      </c>
      <c r="P203">
        <f t="shared" si="20"/>
        <v>740</v>
      </c>
      <c r="Q203">
        <v>2264.3000000000002</v>
      </c>
      <c r="R203">
        <v>240.3</v>
      </c>
      <c r="S203">
        <f t="shared" si="21"/>
        <v>2504.6000000000004</v>
      </c>
      <c r="T203">
        <v>12</v>
      </c>
      <c r="U203" s="3">
        <f t="shared" si="22"/>
        <v>11648.073968758648</v>
      </c>
      <c r="V203" s="3">
        <f t="shared" si="23"/>
        <v>324.75831389829199</v>
      </c>
    </row>
    <row r="204" spans="1:22" x14ac:dyDescent="0.3">
      <c r="A204">
        <v>2024</v>
      </c>
      <c r="B204" t="s">
        <v>35</v>
      </c>
      <c r="C204">
        <v>548</v>
      </c>
      <c r="D204" t="s">
        <v>10</v>
      </c>
      <c r="E204" s="1">
        <v>3</v>
      </c>
      <c r="F204" s="2" t="s">
        <v>11</v>
      </c>
      <c r="G204" s="2" t="s">
        <v>13</v>
      </c>
      <c r="H204" s="2">
        <f t="shared" si="18"/>
        <v>100</v>
      </c>
      <c r="I204" s="2">
        <v>35</v>
      </c>
      <c r="J204" s="2">
        <f t="shared" si="19"/>
        <v>135</v>
      </c>
      <c r="K204" s="1" t="s">
        <v>15</v>
      </c>
      <c r="L204">
        <v>34</v>
      </c>
      <c r="M204">
        <v>16</v>
      </c>
      <c r="N204">
        <v>286.3</v>
      </c>
      <c r="O204">
        <v>19.100000000000001</v>
      </c>
      <c r="P204">
        <f t="shared" si="20"/>
        <v>544</v>
      </c>
      <c r="Q204">
        <v>2264.3000000000002</v>
      </c>
      <c r="R204">
        <v>240.3</v>
      </c>
      <c r="S204">
        <f t="shared" si="21"/>
        <v>2504.6000000000004</v>
      </c>
      <c r="T204">
        <v>12</v>
      </c>
      <c r="U204" s="3">
        <f t="shared" si="22"/>
        <v>11648.073968758648</v>
      </c>
      <c r="V204" s="3">
        <f t="shared" si="23"/>
        <v>324.75831389829199</v>
      </c>
    </row>
    <row r="205" spans="1:22" x14ac:dyDescent="0.3">
      <c r="A205">
        <v>2024</v>
      </c>
      <c r="B205" t="s">
        <v>35</v>
      </c>
      <c r="C205">
        <v>548</v>
      </c>
      <c r="D205" t="s">
        <v>10</v>
      </c>
      <c r="E205" s="1">
        <v>3</v>
      </c>
      <c r="F205" s="2" t="s">
        <v>11</v>
      </c>
      <c r="G205" s="2" t="s">
        <v>13</v>
      </c>
      <c r="H205" s="2">
        <f t="shared" si="18"/>
        <v>100</v>
      </c>
      <c r="I205" s="2">
        <v>35</v>
      </c>
      <c r="J205" s="2">
        <f t="shared" si="19"/>
        <v>135</v>
      </c>
      <c r="K205" s="1" t="s">
        <v>15</v>
      </c>
      <c r="L205">
        <v>36</v>
      </c>
      <c r="M205">
        <v>16</v>
      </c>
      <c r="N205">
        <v>286.3</v>
      </c>
      <c r="O205">
        <v>19.100000000000001</v>
      </c>
      <c r="P205">
        <f t="shared" si="20"/>
        <v>576</v>
      </c>
      <c r="Q205">
        <v>2264.3000000000002</v>
      </c>
      <c r="R205">
        <v>240.3</v>
      </c>
      <c r="S205">
        <f t="shared" si="21"/>
        <v>2504.6000000000004</v>
      </c>
      <c r="T205">
        <v>12</v>
      </c>
      <c r="U205" s="3">
        <f t="shared" si="22"/>
        <v>11648.073968758648</v>
      </c>
      <c r="V205" s="3">
        <f t="shared" si="23"/>
        <v>324.75831389829199</v>
      </c>
    </row>
    <row r="206" spans="1:22" x14ac:dyDescent="0.3">
      <c r="A206">
        <v>2024</v>
      </c>
      <c r="B206" t="s">
        <v>35</v>
      </c>
      <c r="C206">
        <v>548</v>
      </c>
      <c r="D206" t="s">
        <v>10</v>
      </c>
      <c r="E206" s="1">
        <v>3</v>
      </c>
      <c r="F206" s="2" t="s">
        <v>11</v>
      </c>
      <c r="G206" s="2" t="s">
        <v>13</v>
      </c>
      <c r="H206" s="2">
        <f t="shared" si="18"/>
        <v>100</v>
      </c>
      <c r="I206" s="2">
        <v>35</v>
      </c>
      <c r="J206" s="2">
        <f t="shared" si="19"/>
        <v>135</v>
      </c>
      <c r="K206" s="1" t="s">
        <v>15</v>
      </c>
      <c r="L206">
        <v>37</v>
      </c>
      <c r="M206">
        <v>18</v>
      </c>
      <c r="N206">
        <v>286.3</v>
      </c>
      <c r="O206">
        <v>19.100000000000001</v>
      </c>
      <c r="P206">
        <f t="shared" si="20"/>
        <v>666</v>
      </c>
      <c r="Q206">
        <v>2264.3000000000002</v>
      </c>
      <c r="R206">
        <v>240.3</v>
      </c>
      <c r="S206">
        <f t="shared" si="21"/>
        <v>2504.6000000000004</v>
      </c>
      <c r="T206">
        <v>12</v>
      </c>
      <c r="U206" s="3">
        <f t="shared" si="22"/>
        <v>11648.073968758648</v>
      </c>
      <c r="V206" s="3">
        <f t="shared" si="23"/>
        <v>324.75831389829199</v>
      </c>
    </row>
    <row r="207" spans="1:22" x14ac:dyDescent="0.3">
      <c r="A207">
        <v>2024</v>
      </c>
      <c r="B207" t="s">
        <v>35</v>
      </c>
      <c r="C207">
        <v>548</v>
      </c>
      <c r="D207" t="s">
        <v>10</v>
      </c>
      <c r="E207" s="1">
        <v>3</v>
      </c>
      <c r="F207" s="2" t="s">
        <v>11</v>
      </c>
      <c r="G207" s="2" t="s">
        <v>13</v>
      </c>
      <c r="H207" s="2">
        <f t="shared" si="18"/>
        <v>100</v>
      </c>
      <c r="I207" s="2">
        <v>35</v>
      </c>
      <c r="J207" s="2">
        <f t="shared" si="19"/>
        <v>135</v>
      </c>
      <c r="K207" s="1" t="s">
        <v>15</v>
      </c>
      <c r="L207">
        <v>34</v>
      </c>
      <c r="M207">
        <v>16</v>
      </c>
      <c r="N207">
        <v>286.3</v>
      </c>
      <c r="O207">
        <v>19.100000000000001</v>
      </c>
      <c r="P207">
        <f t="shared" si="20"/>
        <v>544</v>
      </c>
      <c r="Q207">
        <v>2264.3000000000002</v>
      </c>
      <c r="R207">
        <v>240.3</v>
      </c>
      <c r="S207">
        <f t="shared" si="21"/>
        <v>2504.6000000000004</v>
      </c>
      <c r="T207">
        <v>12</v>
      </c>
      <c r="U207" s="3">
        <f t="shared" si="22"/>
        <v>11648.073968758648</v>
      </c>
      <c r="V207" s="3">
        <f t="shared" si="23"/>
        <v>324.75831389829199</v>
      </c>
    </row>
    <row r="208" spans="1:22" x14ac:dyDescent="0.3">
      <c r="A208">
        <v>2024</v>
      </c>
      <c r="B208" t="s">
        <v>35</v>
      </c>
      <c r="C208">
        <v>548</v>
      </c>
      <c r="D208" t="s">
        <v>10</v>
      </c>
      <c r="E208" s="1">
        <v>3</v>
      </c>
      <c r="F208" s="2" t="s">
        <v>11</v>
      </c>
      <c r="G208" s="2" t="s">
        <v>13</v>
      </c>
      <c r="H208" s="2">
        <f t="shared" si="18"/>
        <v>100</v>
      </c>
      <c r="I208" s="2">
        <v>35</v>
      </c>
      <c r="J208" s="2">
        <f t="shared" si="19"/>
        <v>135</v>
      </c>
      <c r="K208" s="1" t="s">
        <v>15</v>
      </c>
      <c r="L208">
        <v>32</v>
      </c>
      <c r="M208">
        <v>20</v>
      </c>
      <c r="N208">
        <v>286.3</v>
      </c>
      <c r="O208">
        <v>19.100000000000001</v>
      </c>
      <c r="P208">
        <f t="shared" si="20"/>
        <v>640</v>
      </c>
      <c r="Q208">
        <v>2264.3000000000002</v>
      </c>
      <c r="R208">
        <v>240.3</v>
      </c>
      <c r="S208">
        <f t="shared" si="21"/>
        <v>2504.6000000000004</v>
      </c>
      <c r="T208">
        <v>12</v>
      </c>
      <c r="U208" s="3">
        <f t="shared" si="22"/>
        <v>11648.073968758648</v>
      </c>
      <c r="V208" s="3">
        <f t="shared" si="23"/>
        <v>324.75831389829199</v>
      </c>
    </row>
    <row r="209" spans="1:22" x14ac:dyDescent="0.3">
      <c r="A209">
        <v>2024</v>
      </c>
      <c r="B209" t="s">
        <v>35</v>
      </c>
      <c r="C209">
        <v>548</v>
      </c>
      <c r="D209" t="s">
        <v>10</v>
      </c>
      <c r="E209" s="1">
        <v>3</v>
      </c>
      <c r="F209" s="2" t="s">
        <v>11</v>
      </c>
      <c r="G209" s="2" t="s">
        <v>13</v>
      </c>
      <c r="H209" s="2">
        <f t="shared" si="18"/>
        <v>100</v>
      </c>
      <c r="I209" s="2">
        <v>35</v>
      </c>
      <c r="J209" s="2">
        <f t="shared" si="19"/>
        <v>135</v>
      </c>
      <c r="K209" s="1" t="s">
        <v>15</v>
      </c>
      <c r="L209">
        <v>39</v>
      </c>
      <c r="M209">
        <v>16</v>
      </c>
      <c r="N209">
        <v>286.3</v>
      </c>
      <c r="O209">
        <v>19.100000000000001</v>
      </c>
      <c r="P209">
        <f t="shared" si="20"/>
        <v>624</v>
      </c>
      <c r="Q209">
        <v>2264.3000000000002</v>
      </c>
      <c r="R209">
        <v>240.3</v>
      </c>
      <c r="S209">
        <f t="shared" si="21"/>
        <v>2504.6000000000004</v>
      </c>
      <c r="T209">
        <v>12</v>
      </c>
      <c r="U209" s="3">
        <f t="shared" si="22"/>
        <v>11648.073968758648</v>
      </c>
      <c r="V209" s="3">
        <f t="shared" si="23"/>
        <v>324.75831389829199</v>
      </c>
    </row>
    <row r="210" spans="1:22" x14ac:dyDescent="0.3">
      <c r="A210">
        <v>2024</v>
      </c>
      <c r="B210" t="s">
        <v>35</v>
      </c>
      <c r="C210">
        <v>548</v>
      </c>
      <c r="D210" t="s">
        <v>10</v>
      </c>
      <c r="E210" s="1">
        <v>3</v>
      </c>
      <c r="F210" s="2" t="s">
        <v>11</v>
      </c>
      <c r="G210" s="2" t="s">
        <v>13</v>
      </c>
      <c r="H210" s="2">
        <f t="shared" si="18"/>
        <v>100</v>
      </c>
      <c r="I210" s="2">
        <v>35</v>
      </c>
      <c r="J210" s="2">
        <f t="shared" si="19"/>
        <v>135</v>
      </c>
      <c r="K210" s="1" t="s">
        <v>15</v>
      </c>
      <c r="L210">
        <v>39</v>
      </c>
      <c r="M210">
        <v>16</v>
      </c>
      <c r="N210">
        <v>286.3</v>
      </c>
      <c r="O210">
        <v>19.100000000000001</v>
      </c>
      <c r="P210">
        <f t="shared" si="20"/>
        <v>624</v>
      </c>
      <c r="Q210">
        <v>2264.3000000000002</v>
      </c>
      <c r="R210">
        <v>240.3</v>
      </c>
      <c r="S210">
        <f t="shared" si="21"/>
        <v>2504.6000000000004</v>
      </c>
      <c r="T210">
        <v>12</v>
      </c>
      <c r="U210" s="3">
        <f t="shared" si="22"/>
        <v>11648.073968758648</v>
      </c>
      <c r="V210" s="3">
        <f t="shared" si="23"/>
        <v>324.75831389829199</v>
      </c>
    </row>
    <row r="211" spans="1:22" x14ac:dyDescent="0.3">
      <c r="A211">
        <v>2024</v>
      </c>
      <c r="B211" t="s">
        <v>35</v>
      </c>
      <c r="C211">
        <v>548</v>
      </c>
      <c r="D211" t="s">
        <v>10</v>
      </c>
      <c r="E211" s="1">
        <v>3</v>
      </c>
      <c r="F211" s="2" t="s">
        <v>11</v>
      </c>
      <c r="G211" s="2" t="s">
        <v>13</v>
      </c>
      <c r="H211" s="2">
        <f t="shared" si="18"/>
        <v>100</v>
      </c>
      <c r="I211" s="2">
        <v>35</v>
      </c>
      <c r="J211" s="2">
        <f t="shared" si="19"/>
        <v>135</v>
      </c>
      <c r="K211" s="1" t="s">
        <v>15</v>
      </c>
      <c r="L211">
        <v>40</v>
      </c>
      <c r="M211">
        <v>18</v>
      </c>
      <c r="N211">
        <v>286.3</v>
      </c>
      <c r="O211">
        <v>19.100000000000001</v>
      </c>
      <c r="P211">
        <f t="shared" si="20"/>
        <v>720</v>
      </c>
      <c r="Q211">
        <v>2264.3000000000002</v>
      </c>
      <c r="R211">
        <v>240.3</v>
      </c>
      <c r="S211">
        <f t="shared" si="21"/>
        <v>2504.6000000000004</v>
      </c>
      <c r="T211">
        <v>12</v>
      </c>
      <c r="U211" s="3">
        <f t="shared" si="22"/>
        <v>11648.073968758648</v>
      </c>
      <c r="V211" s="3">
        <f t="shared" si="23"/>
        <v>324.75831389829199</v>
      </c>
    </row>
    <row r="212" spans="1:22" x14ac:dyDescent="0.3">
      <c r="A212">
        <v>2024</v>
      </c>
      <c r="B212" t="s">
        <v>35</v>
      </c>
      <c r="C212">
        <v>548</v>
      </c>
      <c r="D212" t="s">
        <v>10</v>
      </c>
      <c r="E212" s="1">
        <v>3</v>
      </c>
      <c r="F212" s="2" t="s">
        <v>11</v>
      </c>
      <c r="G212" s="2" t="s">
        <v>13</v>
      </c>
      <c r="H212" s="2">
        <f t="shared" si="18"/>
        <v>100</v>
      </c>
      <c r="I212" s="2">
        <v>35</v>
      </c>
      <c r="J212" s="2">
        <f t="shared" si="19"/>
        <v>135</v>
      </c>
      <c r="K212" s="1" t="s">
        <v>15</v>
      </c>
      <c r="L212">
        <v>40</v>
      </c>
      <c r="M212">
        <v>15</v>
      </c>
      <c r="N212">
        <v>286.3</v>
      </c>
      <c r="O212">
        <v>19.100000000000001</v>
      </c>
      <c r="P212">
        <f t="shared" si="20"/>
        <v>600</v>
      </c>
      <c r="Q212">
        <v>2264.3000000000002</v>
      </c>
      <c r="R212">
        <v>240.3</v>
      </c>
      <c r="S212">
        <f t="shared" si="21"/>
        <v>2504.6000000000004</v>
      </c>
      <c r="T212">
        <v>12</v>
      </c>
      <c r="U212" s="3">
        <f t="shared" si="22"/>
        <v>11648.073968758648</v>
      </c>
      <c r="V212" s="3">
        <f t="shared" si="23"/>
        <v>324.75831389829199</v>
      </c>
    </row>
    <row r="213" spans="1:22" x14ac:dyDescent="0.3">
      <c r="A213">
        <v>2024</v>
      </c>
      <c r="B213" t="s">
        <v>35</v>
      </c>
      <c r="C213">
        <v>561</v>
      </c>
      <c r="D213" t="s">
        <v>10</v>
      </c>
      <c r="E213" s="1">
        <v>4</v>
      </c>
      <c r="F213" s="2" t="s">
        <v>11</v>
      </c>
      <c r="G213" s="2" t="s">
        <v>13</v>
      </c>
      <c r="H213" s="2">
        <f t="shared" si="18"/>
        <v>100</v>
      </c>
      <c r="I213" s="2">
        <v>52.5</v>
      </c>
      <c r="J213" s="2">
        <f t="shared" si="19"/>
        <v>152.5</v>
      </c>
      <c r="K213" s="1" t="s">
        <v>15</v>
      </c>
      <c r="L213">
        <v>37</v>
      </c>
      <c r="M213">
        <v>18</v>
      </c>
      <c r="N213">
        <v>342.9</v>
      </c>
      <c r="O213">
        <v>17.7</v>
      </c>
      <c r="P213">
        <f t="shared" si="20"/>
        <v>666</v>
      </c>
      <c r="Q213">
        <v>2372.4</v>
      </c>
      <c r="R213">
        <v>212.1</v>
      </c>
      <c r="S213">
        <f t="shared" si="21"/>
        <v>2584.5</v>
      </c>
      <c r="T213">
        <v>12</v>
      </c>
      <c r="U213" s="3">
        <f t="shared" si="22"/>
        <v>13169.466126384847</v>
      </c>
      <c r="V213" s="3">
        <f t="shared" si="23"/>
        <v>367.17603490641363</v>
      </c>
    </row>
    <row r="214" spans="1:22" x14ac:dyDescent="0.3">
      <c r="A214">
        <v>2024</v>
      </c>
      <c r="B214" t="s">
        <v>35</v>
      </c>
      <c r="C214">
        <v>561</v>
      </c>
      <c r="D214" t="s">
        <v>10</v>
      </c>
      <c r="E214" s="1">
        <v>4</v>
      </c>
      <c r="F214" s="2" t="s">
        <v>11</v>
      </c>
      <c r="G214" s="2" t="s">
        <v>13</v>
      </c>
      <c r="H214" s="2">
        <f t="shared" si="18"/>
        <v>100</v>
      </c>
      <c r="I214" s="2">
        <v>52.5</v>
      </c>
      <c r="J214" s="2">
        <f t="shared" si="19"/>
        <v>152.5</v>
      </c>
      <c r="K214" s="1" t="s">
        <v>15</v>
      </c>
      <c r="L214">
        <v>26</v>
      </c>
      <c r="M214">
        <v>16</v>
      </c>
      <c r="N214">
        <v>342.9</v>
      </c>
      <c r="O214">
        <v>17.7</v>
      </c>
      <c r="P214">
        <f t="shared" si="20"/>
        <v>416</v>
      </c>
      <c r="Q214">
        <v>2372.4</v>
      </c>
      <c r="R214">
        <v>212.1</v>
      </c>
      <c r="S214">
        <f t="shared" si="21"/>
        <v>2584.5</v>
      </c>
      <c r="T214">
        <v>12</v>
      </c>
      <c r="U214" s="3">
        <f t="shared" si="22"/>
        <v>13169.466126384847</v>
      </c>
      <c r="V214" s="3">
        <f t="shared" si="23"/>
        <v>367.17603490641363</v>
      </c>
    </row>
    <row r="215" spans="1:22" x14ac:dyDescent="0.3">
      <c r="A215">
        <v>2024</v>
      </c>
      <c r="B215" t="s">
        <v>35</v>
      </c>
      <c r="C215">
        <v>561</v>
      </c>
      <c r="D215" t="s">
        <v>10</v>
      </c>
      <c r="E215" s="1">
        <v>4</v>
      </c>
      <c r="F215" s="2" t="s">
        <v>11</v>
      </c>
      <c r="G215" s="2" t="s">
        <v>13</v>
      </c>
      <c r="H215" s="2">
        <f t="shared" si="18"/>
        <v>100</v>
      </c>
      <c r="I215" s="2">
        <v>52.5</v>
      </c>
      <c r="J215" s="2">
        <f t="shared" si="19"/>
        <v>152.5</v>
      </c>
      <c r="K215" s="1" t="s">
        <v>15</v>
      </c>
      <c r="L215">
        <v>32</v>
      </c>
      <c r="M215">
        <v>16</v>
      </c>
      <c r="N215">
        <v>342.9</v>
      </c>
      <c r="O215">
        <v>17.7</v>
      </c>
      <c r="P215">
        <f t="shared" si="20"/>
        <v>512</v>
      </c>
      <c r="Q215">
        <v>2372.4</v>
      </c>
      <c r="R215">
        <v>212.1</v>
      </c>
      <c r="S215">
        <f t="shared" si="21"/>
        <v>2584.5</v>
      </c>
      <c r="T215">
        <v>12</v>
      </c>
      <c r="U215" s="3">
        <f t="shared" si="22"/>
        <v>13169.466126384847</v>
      </c>
      <c r="V215" s="3">
        <f t="shared" si="23"/>
        <v>367.17603490641363</v>
      </c>
    </row>
    <row r="216" spans="1:22" x14ac:dyDescent="0.3">
      <c r="A216">
        <v>2024</v>
      </c>
      <c r="B216" t="s">
        <v>35</v>
      </c>
      <c r="C216">
        <v>561</v>
      </c>
      <c r="D216" t="s">
        <v>10</v>
      </c>
      <c r="E216" s="1">
        <v>4</v>
      </c>
      <c r="F216" s="2" t="s">
        <v>11</v>
      </c>
      <c r="G216" s="2" t="s">
        <v>13</v>
      </c>
      <c r="H216" s="2">
        <f t="shared" si="18"/>
        <v>100</v>
      </c>
      <c r="I216" s="2">
        <v>52.5</v>
      </c>
      <c r="J216" s="2">
        <f t="shared" si="19"/>
        <v>152.5</v>
      </c>
      <c r="K216" s="1" t="s">
        <v>15</v>
      </c>
      <c r="L216">
        <v>31</v>
      </c>
      <c r="M216">
        <v>18</v>
      </c>
      <c r="N216">
        <v>342.9</v>
      </c>
      <c r="O216">
        <v>17.7</v>
      </c>
      <c r="P216">
        <f t="shared" si="20"/>
        <v>558</v>
      </c>
      <c r="Q216">
        <v>2372.4</v>
      </c>
      <c r="R216">
        <v>212.1</v>
      </c>
      <c r="S216">
        <f t="shared" si="21"/>
        <v>2584.5</v>
      </c>
      <c r="T216">
        <v>12</v>
      </c>
      <c r="U216" s="3">
        <f t="shared" si="22"/>
        <v>13169.466126384847</v>
      </c>
      <c r="V216" s="3">
        <f t="shared" si="23"/>
        <v>367.17603490641363</v>
      </c>
    </row>
    <row r="217" spans="1:22" x14ac:dyDescent="0.3">
      <c r="A217">
        <v>2024</v>
      </c>
      <c r="B217" t="s">
        <v>35</v>
      </c>
      <c r="C217">
        <v>561</v>
      </c>
      <c r="D217" t="s">
        <v>10</v>
      </c>
      <c r="E217" s="1">
        <v>4</v>
      </c>
      <c r="F217" s="2" t="s">
        <v>11</v>
      </c>
      <c r="G217" s="2" t="s">
        <v>13</v>
      </c>
      <c r="H217" s="2">
        <f t="shared" si="18"/>
        <v>100</v>
      </c>
      <c r="I217" s="2">
        <v>52.5</v>
      </c>
      <c r="J217" s="2">
        <f t="shared" si="19"/>
        <v>152.5</v>
      </c>
      <c r="K217" s="1" t="s">
        <v>15</v>
      </c>
      <c r="L217">
        <v>35</v>
      </c>
      <c r="M217">
        <v>18</v>
      </c>
      <c r="N217">
        <v>342.9</v>
      </c>
      <c r="O217">
        <v>17.7</v>
      </c>
      <c r="P217">
        <f t="shared" si="20"/>
        <v>630</v>
      </c>
      <c r="Q217">
        <v>2372.4</v>
      </c>
      <c r="R217">
        <v>212.1</v>
      </c>
      <c r="S217">
        <f t="shared" si="21"/>
        <v>2584.5</v>
      </c>
      <c r="T217">
        <v>12</v>
      </c>
      <c r="U217" s="3">
        <f t="shared" si="22"/>
        <v>13169.466126384847</v>
      </c>
      <c r="V217" s="3">
        <f t="shared" si="23"/>
        <v>367.17603490641363</v>
      </c>
    </row>
    <row r="218" spans="1:22" x14ac:dyDescent="0.3">
      <c r="A218">
        <v>2024</v>
      </c>
      <c r="B218" t="s">
        <v>35</v>
      </c>
      <c r="C218">
        <v>561</v>
      </c>
      <c r="D218" t="s">
        <v>10</v>
      </c>
      <c r="E218" s="1">
        <v>4</v>
      </c>
      <c r="F218" s="2" t="s">
        <v>11</v>
      </c>
      <c r="G218" s="2" t="s">
        <v>13</v>
      </c>
      <c r="H218" s="2">
        <f t="shared" si="18"/>
        <v>100</v>
      </c>
      <c r="I218" s="2">
        <v>52.5</v>
      </c>
      <c r="J218" s="2">
        <f t="shared" si="19"/>
        <v>152.5</v>
      </c>
      <c r="K218" s="1" t="s">
        <v>15</v>
      </c>
      <c r="L218">
        <v>34</v>
      </c>
      <c r="M218">
        <v>16</v>
      </c>
      <c r="N218">
        <v>342.9</v>
      </c>
      <c r="O218">
        <v>17.7</v>
      </c>
      <c r="P218">
        <f t="shared" si="20"/>
        <v>544</v>
      </c>
      <c r="Q218">
        <v>2372.4</v>
      </c>
      <c r="R218">
        <v>212.1</v>
      </c>
      <c r="S218">
        <f t="shared" si="21"/>
        <v>2584.5</v>
      </c>
      <c r="T218">
        <v>12</v>
      </c>
      <c r="U218" s="3">
        <f t="shared" si="22"/>
        <v>13169.466126384847</v>
      </c>
      <c r="V218" s="3">
        <f t="shared" si="23"/>
        <v>367.17603490641363</v>
      </c>
    </row>
    <row r="219" spans="1:22" x14ac:dyDescent="0.3">
      <c r="A219">
        <v>2024</v>
      </c>
      <c r="B219" t="s">
        <v>35</v>
      </c>
      <c r="C219">
        <v>561</v>
      </c>
      <c r="D219" t="s">
        <v>10</v>
      </c>
      <c r="E219" s="1">
        <v>4</v>
      </c>
      <c r="F219" s="2" t="s">
        <v>11</v>
      </c>
      <c r="G219" s="2" t="s">
        <v>13</v>
      </c>
      <c r="H219" s="2">
        <f t="shared" si="18"/>
        <v>100</v>
      </c>
      <c r="I219" s="2">
        <v>52.5</v>
      </c>
      <c r="J219" s="2">
        <f t="shared" si="19"/>
        <v>152.5</v>
      </c>
      <c r="K219" s="1" t="s">
        <v>15</v>
      </c>
      <c r="L219">
        <v>32</v>
      </c>
      <c r="M219">
        <v>18</v>
      </c>
      <c r="N219">
        <v>342.9</v>
      </c>
      <c r="O219">
        <v>17.7</v>
      </c>
      <c r="P219">
        <f t="shared" si="20"/>
        <v>576</v>
      </c>
      <c r="Q219">
        <v>2372.4</v>
      </c>
      <c r="R219">
        <v>212.1</v>
      </c>
      <c r="S219">
        <f t="shared" si="21"/>
        <v>2584.5</v>
      </c>
      <c r="T219">
        <v>12</v>
      </c>
      <c r="U219" s="3">
        <f t="shared" si="22"/>
        <v>13169.466126384847</v>
      </c>
      <c r="V219" s="3">
        <f t="shared" si="23"/>
        <v>367.17603490641363</v>
      </c>
    </row>
    <row r="220" spans="1:22" x14ac:dyDescent="0.3">
      <c r="A220">
        <v>2024</v>
      </c>
      <c r="B220" t="s">
        <v>35</v>
      </c>
      <c r="C220">
        <v>561</v>
      </c>
      <c r="D220" t="s">
        <v>10</v>
      </c>
      <c r="E220" s="1">
        <v>4</v>
      </c>
      <c r="F220" s="2" t="s">
        <v>11</v>
      </c>
      <c r="G220" s="2" t="s">
        <v>13</v>
      </c>
      <c r="H220" s="2">
        <f t="shared" si="18"/>
        <v>100</v>
      </c>
      <c r="I220" s="2">
        <v>52.5</v>
      </c>
      <c r="J220" s="2">
        <f t="shared" si="19"/>
        <v>152.5</v>
      </c>
      <c r="K220" s="1" t="s">
        <v>15</v>
      </c>
      <c r="L220">
        <v>33</v>
      </c>
      <c r="M220">
        <v>18</v>
      </c>
      <c r="N220">
        <v>342.9</v>
      </c>
      <c r="O220">
        <v>17.7</v>
      </c>
      <c r="P220">
        <f t="shared" si="20"/>
        <v>594</v>
      </c>
      <c r="Q220">
        <v>2372.4</v>
      </c>
      <c r="R220">
        <v>212.1</v>
      </c>
      <c r="S220">
        <f t="shared" si="21"/>
        <v>2584.5</v>
      </c>
      <c r="T220">
        <v>12</v>
      </c>
      <c r="U220" s="3">
        <f t="shared" si="22"/>
        <v>13169.466126384847</v>
      </c>
      <c r="V220" s="3">
        <f t="shared" si="23"/>
        <v>367.17603490641363</v>
      </c>
    </row>
    <row r="221" spans="1:22" x14ac:dyDescent="0.3">
      <c r="A221">
        <v>2024</v>
      </c>
      <c r="B221" t="s">
        <v>35</v>
      </c>
      <c r="C221">
        <v>561</v>
      </c>
      <c r="D221" t="s">
        <v>10</v>
      </c>
      <c r="E221" s="1">
        <v>4</v>
      </c>
      <c r="F221" s="2" t="s">
        <v>11</v>
      </c>
      <c r="G221" s="2" t="s">
        <v>13</v>
      </c>
      <c r="H221" s="2">
        <f t="shared" si="18"/>
        <v>100</v>
      </c>
      <c r="I221" s="2">
        <v>52.5</v>
      </c>
      <c r="J221" s="2">
        <f t="shared" si="19"/>
        <v>152.5</v>
      </c>
      <c r="K221" s="1" t="s">
        <v>15</v>
      </c>
      <c r="L221">
        <v>29</v>
      </c>
      <c r="M221">
        <v>19</v>
      </c>
      <c r="N221">
        <v>342.9</v>
      </c>
      <c r="O221">
        <v>17.7</v>
      </c>
      <c r="P221">
        <f t="shared" si="20"/>
        <v>551</v>
      </c>
      <c r="Q221">
        <v>2372.4</v>
      </c>
      <c r="R221">
        <v>212.1</v>
      </c>
      <c r="S221">
        <f t="shared" si="21"/>
        <v>2584.5</v>
      </c>
      <c r="T221">
        <v>12</v>
      </c>
      <c r="U221" s="3">
        <f t="shared" si="22"/>
        <v>13169.466126384847</v>
      </c>
      <c r="V221" s="3">
        <f t="shared" si="23"/>
        <v>367.17603490641363</v>
      </c>
    </row>
    <row r="222" spans="1:22" x14ac:dyDescent="0.3">
      <c r="A222">
        <v>2024</v>
      </c>
      <c r="B222" t="s">
        <v>35</v>
      </c>
      <c r="C222">
        <v>561</v>
      </c>
      <c r="D222" t="s">
        <v>10</v>
      </c>
      <c r="E222" s="1">
        <v>4</v>
      </c>
      <c r="F222" s="2" t="s">
        <v>11</v>
      </c>
      <c r="G222" s="2" t="s">
        <v>13</v>
      </c>
      <c r="H222" s="2">
        <f t="shared" si="18"/>
        <v>100</v>
      </c>
      <c r="I222" s="2">
        <v>52.5</v>
      </c>
      <c r="J222" s="2">
        <f t="shared" si="19"/>
        <v>152.5</v>
      </c>
      <c r="K222" s="1" t="s">
        <v>15</v>
      </c>
      <c r="L222">
        <v>34</v>
      </c>
      <c r="M222">
        <v>18</v>
      </c>
      <c r="N222">
        <v>342.9</v>
      </c>
      <c r="O222">
        <v>17.7</v>
      </c>
      <c r="P222">
        <f t="shared" si="20"/>
        <v>612</v>
      </c>
      <c r="Q222">
        <v>2372.4</v>
      </c>
      <c r="R222">
        <v>212.1</v>
      </c>
      <c r="S222">
        <f t="shared" si="21"/>
        <v>2584.5</v>
      </c>
      <c r="T222">
        <v>12</v>
      </c>
      <c r="U222" s="3">
        <f t="shared" si="22"/>
        <v>13169.466126384847</v>
      </c>
      <c r="V222" s="3">
        <f t="shared" si="23"/>
        <v>367.17603490641363</v>
      </c>
    </row>
    <row r="223" spans="1:22" x14ac:dyDescent="0.3">
      <c r="A223">
        <v>2024</v>
      </c>
      <c r="B223" t="s">
        <v>35</v>
      </c>
      <c r="C223">
        <v>561</v>
      </c>
      <c r="D223" t="s">
        <v>10</v>
      </c>
      <c r="E223" s="1">
        <v>4</v>
      </c>
      <c r="F223" s="2" t="s">
        <v>11</v>
      </c>
      <c r="G223" s="2" t="s">
        <v>13</v>
      </c>
      <c r="H223" s="2">
        <f t="shared" si="18"/>
        <v>100</v>
      </c>
      <c r="I223" s="2">
        <v>52.5</v>
      </c>
      <c r="J223" s="2">
        <f t="shared" si="19"/>
        <v>152.5</v>
      </c>
      <c r="K223" s="1" t="s">
        <v>15</v>
      </c>
      <c r="L223">
        <v>35</v>
      </c>
      <c r="M223">
        <v>18</v>
      </c>
      <c r="N223">
        <v>342.9</v>
      </c>
      <c r="O223">
        <v>17.7</v>
      </c>
      <c r="P223">
        <f t="shared" si="20"/>
        <v>630</v>
      </c>
      <c r="Q223">
        <v>2372.4</v>
      </c>
      <c r="R223">
        <v>212.1</v>
      </c>
      <c r="S223">
        <f t="shared" si="21"/>
        <v>2584.5</v>
      </c>
      <c r="T223">
        <v>12</v>
      </c>
      <c r="U223" s="3">
        <f t="shared" si="22"/>
        <v>13169.466126384847</v>
      </c>
      <c r="V223" s="3">
        <f t="shared" si="23"/>
        <v>367.17603490641363</v>
      </c>
    </row>
    <row r="224" spans="1:22" x14ac:dyDescent="0.3">
      <c r="A224">
        <v>2024</v>
      </c>
      <c r="B224" t="s">
        <v>35</v>
      </c>
      <c r="C224">
        <v>561</v>
      </c>
      <c r="D224" t="s">
        <v>10</v>
      </c>
      <c r="E224" s="1">
        <v>4</v>
      </c>
      <c r="F224" s="2" t="s">
        <v>11</v>
      </c>
      <c r="G224" s="2" t="s">
        <v>13</v>
      </c>
      <c r="H224" s="2">
        <f t="shared" si="18"/>
        <v>100</v>
      </c>
      <c r="I224" s="2">
        <v>52.5</v>
      </c>
      <c r="J224" s="2">
        <f t="shared" si="19"/>
        <v>152.5</v>
      </c>
      <c r="K224" s="1" t="s">
        <v>15</v>
      </c>
      <c r="L224">
        <v>41</v>
      </c>
      <c r="M224">
        <v>18</v>
      </c>
      <c r="N224">
        <v>342.9</v>
      </c>
      <c r="O224">
        <v>17.7</v>
      </c>
      <c r="P224">
        <f t="shared" si="20"/>
        <v>738</v>
      </c>
      <c r="Q224">
        <v>2372.4</v>
      </c>
      <c r="R224">
        <v>212.1</v>
      </c>
      <c r="S224">
        <f t="shared" si="21"/>
        <v>2584.5</v>
      </c>
      <c r="T224">
        <v>12</v>
      </c>
      <c r="U224" s="3">
        <f t="shared" si="22"/>
        <v>13169.466126384847</v>
      </c>
      <c r="V224" s="3">
        <f t="shared" si="23"/>
        <v>367.17603490641363</v>
      </c>
    </row>
    <row r="225" spans="1:22" x14ac:dyDescent="0.3">
      <c r="A225">
        <v>2024</v>
      </c>
      <c r="B225" t="s">
        <v>35</v>
      </c>
      <c r="C225">
        <v>562</v>
      </c>
      <c r="D225" t="s">
        <v>10</v>
      </c>
      <c r="E225" s="1">
        <v>4</v>
      </c>
      <c r="F225" s="2" t="s">
        <v>11</v>
      </c>
      <c r="G225" s="2" t="s">
        <v>14</v>
      </c>
      <c r="H225" s="2">
        <f t="shared" si="18"/>
        <v>100</v>
      </c>
      <c r="I225" s="2">
        <v>236</v>
      </c>
      <c r="J225" s="2">
        <f t="shared" si="19"/>
        <v>336</v>
      </c>
      <c r="K225" s="1" t="s">
        <v>15</v>
      </c>
      <c r="L225">
        <v>30</v>
      </c>
      <c r="M225">
        <v>20</v>
      </c>
      <c r="N225">
        <v>264.7</v>
      </c>
      <c r="O225">
        <v>18.7</v>
      </c>
      <c r="P225">
        <f t="shared" si="20"/>
        <v>600</v>
      </c>
      <c r="Q225">
        <v>1654.3</v>
      </c>
      <c r="R225">
        <v>175.8</v>
      </c>
      <c r="S225">
        <f t="shared" si="21"/>
        <v>1830.1</v>
      </c>
      <c r="T225">
        <v>12</v>
      </c>
      <c r="U225" s="3">
        <f t="shared" si="22"/>
        <v>8692.1294144684489</v>
      </c>
      <c r="V225" s="3">
        <f t="shared" si="23"/>
        <v>242.34403905741641</v>
      </c>
    </row>
    <row r="226" spans="1:22" x14ac:dyDescent="0.3">
      <c r="A226">
        <v>2024</v>
      </c>
      <c r="B226" t="s">
        <v>35</v>
      </c>
      <c r="C226">
        <v>562</v>
      </c>
      <c r="D226" t="s">
        <v>10</v>
      </c>
      <c r="E226" s="1">
        <v>4</v>
      </c>
      <c r="F226" s="2" t="s">
        <v>11</v>
      </c>
      <c r="G226" s="2" t="s">
        <v>14</v>
      </c>
      <c r="H226" s="2">
        <f t="shared" si="18"/>
        <v>100</v>
      </c>
      <c r="I226" s="2">
        <v>236</v>
      </c>
      <c r="J226" s="2">
        <f t="shared" si="19"/>
        <v>336</v>
      </c>
      <c r="K226" s="1" t="s">
        <v>15</v>
      </c>
      <c r="L226">
        <v>30</v>
      </c>
      <c r="M226">
        <v>17</v>
      </c>
      <c r="N226">
        <v>264.7</v>
      </c>
      <c r="O226">
        <v>18.7</v>
      </c>
      <c r="P226">
        <f t="shared" si="20"/>
        <v>510</v>
      </c>
      <c r="Q226">
        <v>1654.3</v>
      </c>
      <c r="R226">
        <v>175.8</v>
      </c>
      <c r="S226">
        <f t="shared" si="21"/>
        <v>1830.1</v>
      </c>
      <c r="T226">
        <v>12</v>
      </c>
      <c r="U226" s="3">
        <f t="shared" si="22"/>
        <v>8692.1294144684489</v>
      </c>
      <c r="V226" s="3">
        <f t="shared" si="23"/>
        <v>242.34403905741641</v>
      </c>
    </row>
    <row r="227" spans="1:22" x14ac:dyDescent="0.3">
      <c r="A227">
        <v>2024</v>
      </c>
      <c r="B227" t="s">
        <v>35</v>
      </c>
      <c r="C227">
        <v>562</v>
      </c>
      <c r="D227" t="s">
        <v>10</v>
      </c>
      <c r="E227" s="1">
        <v>4</v>
      </c>
      <c r="F227" s="2" t="s">
        <v>11</v>
      </c>
      <c r="G227" s="2" t="s">
        <v>14</v>
      </c>
      <c r="H227" s="2">
        <f t="shared" si="18"/>
        <v>100</v>
      </c>
      <c r="I227" s="2">
        <v>236</v>
      </c>
      <c r="J227" s="2">
        <f t="shared" si="19"/>
        <v>336</v>
      </c>
      <c r="K227" s="1" t="s">
        <v>15</v>
      </c>
      <c r="L227">
        <v>29</v>
      </c>
      <c r="M227">
        <v>20</v>
      </c>
      <c r="N227">
        <v>264.7</v>
      </c>
      <c r="O227">
        <v>18.7</v>
      </c>
      <c r="P227">
        <f t="shared" si="20"/>
        <v>580</v>
      </c>
      <c r="Q227">
        <v>1654.3</v>
      </c>
      <c r="R227">
        <v>175.8</v>
      </c>
      <c r="S227">
        <f t="shared" si="21"/>
        <v>1830.1</v>
      </c>
      <c r="T227">
        <v>12</v>
      </c>
      <c r="U227" s="3">
        <f t="shared" si="22"/>
        <v>8692.1294144684489</v>
      </c>
      <c r="V227" s="3">
        <f t="shared" si="23"/>
        <v>242.34403905741641</v>
      </c>
    </row>
    <row r="228" spans="1:22" x14ac:dyDescent="0.3">
      <c r="A228">
        <v>2024</v>
      </c>
      <c r="B228" t="s">
        <v>35</v>
      </c>
      <c r="C228">
        <v>562</v>
      </c>
      <c r="D228" t="s">
        <v>10</v>
      </c>
      <c r="E228" s="1">
        <v>4</v>
      </c>
      <c r="F228" s="2" t="s">
        <v>11</v>
      </c>
      <c r="G228" s="2" t="s">
        <v>14</v>
      </c>
      <c r="H228" s="2">
        <f t="shared" si="18"/>
        <v>100</v>
      </c>
      <c r="I228" s="2">
        <v>236</v>
      </c>
      <c r="J228" s="2">
        <f t="shared" si="19"/>
        <v>336</v>
      </c>
      <c r="K228" s="1" t="s">
        <v>15</v>
      </c>
      <c r="L228">
        <v>24</v>
      </c>
      <c r="M228">
        <v>18</v>
      </c>
      <c r="N228">
        <v>264.7</v>
      </c>
      <c r="O228">
        <v>18.7</v>
      </c>
      <c r="P228">
        <f t="shared" si="20"/>
        <v>432</v>
      </c>
      <c r="Q228">
        <v>1654.3</v>
      </c>
      <c r="R228">
        <v>175.8</v>
      </c>
      <c r="S228">
        <f t="shared" si="21"/>
        <v>1830.1</v>
      </c>
      <c r="T228">
        <v>12</v>
      </c>
      <c r="U228" s="3">
        <f t="shared" si="22"/>
        <v>8692.1294144684489</v>
      </c>
      <c r="V228" s="3">
        <f t="shared" si="23"/>
        <v>242.34403905741641</v>
      </c>
    </row>
    <row r="229" spans="1:22" x14ac:dyDescent="0.3">
      <c r="A229">
        <v>2024</v>
      </c>
      <c r="B229" t="s">
        <v>35</v>
      </c>
      <c r="C229">
        <v>562</v>
      </c>
      <c r="D229" t="s">
        <v>10</v>
      </c>
      <c r="E229" s="1">
        <v>4</v>
      </c>
      <c r="F229" s="2" t="s">
        <v>11</v>
      </c>
      <c r="G229" s="2" t="s">
        <v>14</v>
      </c>
      <c r="H229" s="2">
        <f t="shared" si="18"/>
        <v>100</v>
      </c>
      <c r="I229" s="2">
        <v>236</v>
      </c>
      <c r="J229" s="2">
        <f t="shared" si="19"/>
        <v>336</v>
      </c>
      <c r="K229" s="1" t="s">
        <v>15</v>
      </c>
      <c r="L229">
        <v>30</v>
      </c>
      <c r="M229">
        <v>18</v>
      </c>
      <c r="N229">
        <v>264.7</v>
      </c>
      <c r="O229">
        <v>18.7</v>
      </c>
      <c r="P229">
        <f t="shared" si="20"/>
        <v>540</v>
      </c>
      <c r="Q229">
        <v>1654.3</v>
      </c>
      <c r="R229">
        <v>175.8</v>
      </c>
      <c r="S229">
        <f t="shared" si="21"/>
        <v>1830.1</v>
      </c>
      <c r="T229">
        <v>12</v>
      </c>
      <c r="U229" s="3">
        <f t="shared" si="22"/>
        <v>8692.1294144684489</v>
      </c>
      <c r="V229" s="3">
        <f t="shared" si="23"/>
        <v>242.34403905741641</v>
      </c>
    </row>
    <row r="230" spans="1:22" x14ac:dyDescent="0.3">
      <c r="A230">
        <v>2024</v>
      </c>
      <c r="B230" t="s">
        <v>35</v>
      </c>
      <c r="C230">
        <v>562</v>
      </c>
      <c r="D230" t="s">
        <v>10</v>
      </c>
      <c r="E230" s="1">
        <v>4</v>
      </c>
      <c r="F230" s="2" t="s">
        <v>11</v>
      </c>
      <c r="G230" s="2" t="s">
        <v>14</v>
      </c>
      <c r="H230" s="2">
        <f t="shared" si="18"/>
        <v>100</v>
      </c>
      <c r="I230" s="2">
        <v>236</v>
      </c>
      <c r="J230" s="2">
        <f t="shared" si="19"/>
        <v>336</v>
      </c>
      <c r="K230" s="1" t="s">
        <v>15</v>
      </c>
      <c r="L230">
        <v>28</v>
      </c>
      <c r="M230">
        <v>18</v>
      </c>
      <c r="N230">
        <v>264.7</v>
      </c>
      <c r="O230">
        <v>18.7</v>
      </c>
      <c r="P230">
        <f t="shared" si="20"/>
        <v>504</v>
      </c>
      <c r="Q230">
        <v>1654.3</v>
      </c>
      <c r="R230">
        <v>175.8</v>
      </c>
      <c r="S230">
        <f t="shared" si="21"/>
        <v>1830.1</v>
      </c>
      <c r="T230">
        <v>12</v>
      </c>
      <c r="U230" s="3">
        <f t="shared" si="22"/>
        <v>8692.1294144684489</v>
      </c>
      <c r="V230" s="3">
        <f t="shared" si="23"/>
        <v>242.34403905741641</v>
      </c>
    </row>
    <row r="231" spans="1:22" x14ac:dyDescent="0.3">
      <c r="A231">
        <v>2024</v>
      </c>
      <c r="B231" t="s">
        <v>35</v>
      </c>
      <c r="C231">
        <v>562</v>
      </c>
      <c r="D231" t="s">
        <v>10</v>
      </c>
      <c r="E231" s="1">
        <v>4</v>
      </c>
      <c r="F231" s="2" t="s">
        <v>11</v>
      </c>
      <c r="G231" s="2" t="s">
        <v>14</v>
      </c>
      <c r="H231" s="2">
        <f t="shared" si="18"/>
        <v>100</v>
      </c>
      <c r="I231" s="2">
        <v>236</v>
      </c>
      <c r="J231" s="2">
        <f t="shared" si="19"/>
        <v>336</v>
      </c>
      <c r="K231" s="1" t="s">
        <v>15</v>
      </c>
      <c r="L231">
        <v>29</v>
      </c>
      <c r="M231">
        <v>20</v>
      </c>
      <c r="N231">
        <v>264.7</v>
      </c>
      <c r="O231">
        <v>18.7</v>
      </c>
      <c r="P231">
        <f t="shared" si="20"/>
        <v>580</v>
      </c>
      <c r="Q231">
        <v>1654.3</v>
      </c>
      <c r="R231">
        <v>175.8</v>
      </c>
      <c r="S231">
        <f t="shared" si="21"/>
        <v>1830.1</v>
      </c>
      <c r="T231">
        <v>12</v>
      </c>
      <c r="U231" s="3">
        <f t="shared" si="22"/>
        <v>8692.1294144684489</v>
      </c>
      <c r="V231" s="3">
        <f t="shared" si="23"/>
        <v>242.34403905741641</v>
      </c>
    </row>
    <row r="232" spans="1:22" x14ac:dyDescent="0.3">
      <c r="A232">
        <v>2024</v>
      </c>
      <c r="B232" t="s">
        <v>35</v>
      </c>
      <c r="C232">
        <v>562</v>
      </c>
      <c r="D232" t="s">
        <v>10</v>
      </c>
      <c r="E232" s="1">
        <v>4</v>
      </c>
      <c r="F232" s="2" t="s">
        <v>11</v>
      </c>
      <c r="G232" s="2" t="s">
        <v>14</v>
      </c>
      <c r="H232" s="2">
        <f t="shared" si="18"/>
        <v>100</v>
      </c>
      <c r="I232" s="2">
        <v>236</v>
      </c>
      <c r="J232" s="2">
        <f t="shared" si="19"/>
        <v>336</v>
      </c>
      <c r="K232" s="1" t="s">
        <v>15</v>
      </c>
      <c r="L232">
        <v>22</v>
      </c>
      <c r="M232">
        <v>16</v>
      </c>
      <c r="N232">
        <v>264.7</v>
      </c>
      <c r="O232">
        <v>18.7</v>
      </c>
      <c r="P232">
        <f t="shared" si="20"/>
        <v>352</v>
      </c>
      <c r="Q232">
        <v>1654.3</v>
      </c>
      <c r="R232">
        <v>175.8</v>
      </c>
      <c r="S232">
        <f t="shared" si="21"/>
        <v>1830.1</v>
      </c>
      <c r="T232">
        <v>12</v>
      </c>
      <c r="U232" s="3">
        <f t="shared" si="22"/>
        <v>8692.1294144684489</v>
      </c>
      <c r="V232" s="3">
        <f t="shared" si="23"/>
        <v>242.34403905741641</v>
      </c>
    </row>
    <row r="233" spans="1:22" x14ac:dyDescent="0.3">
      <c r="A233">
        <v>2024</v>
      </c>
      <c r="B233" t="s">
        <v>35</v>
      </c>
      <c r="C233">
        <v>562</v>
      </c>
      <c r="D233" t="s">
        <v>10</v>
      </c>
      <c r="E233" s="1">
        <v>4</v>
      </c>
      <c r="F233" s="2" t="s">
        <v>11</v>
      </c>
      <c r="G233" s="2" t="s">
        <v>14</v>
      </c>
      <c r="H233" s="2">
        <f t="shared" si="18"/>
        <v>100</v>
      </c>
      <c r="I233" s="2">
        <v>236</v>
      </c>
      <c r="J233" s="2">
        <f t="shared" si="19"/>
        <v>336</v>
      </c>
      <c r="K233" s="1" t="s">
        <v>15</v>
      </c>
      <c r="L233">
        <v>28</v>
      </c>
      <c r="M233">
        <v>16</v>
      </c>
      <c r="N233">
        <v>264.7</v>
      </c>
      <c r="O233">
        <v>18.7</v>
      </c>
      <c r="P233">
        <f t="shared" si="20"/>
        <v>448</v>
      </c>
      <c r="Q233">
        <v>1654.3</v>
      </c>
      <c r="R233">
        <v>175.8</v>
      </c>
      <c r="S233">
        <f t="shared" si="21"/>
        <v>1830.1</v>
      </c>
      <c r="T233">
        <v>12</v>
      </c>
      <c r="U233" s="3">
        <f t="shared" si="22"/>
        <v>8692.1294144684489</v>
      </c>
      <c r="V233" s="3">
        <f t="shared" si="23"/>
        <v>242.34403905741641</v>
      </c>
    </row>
    <row r="234" spans="1:22" x14ac:dyDescent="0.3">
      <c r="A234">
        <v>2024</v>
      </c>
      <c r="B234" t="s">
        <v>35</v>
      </c>
      <c r="C234">
        <v>562</v>
      </c>
      <c r="D234" t="s">
        <v>10</v>
      </c>
      <c r="E234" s="1">
        <v>4</v>
      </c>
      <c r="F234" s="2" t="s">
        <v>11</v>
      </c>
      <c r="G234" s="2" t="s">
        <v>14</v>
      </c>
      <c r="H234" s="2">
        <f t="shared" si="18"/>
        <v>100</v>
      </c>
      <c r="I234" s="2">
        <v>236</v>
      </c>
      <c r="J234" s="2">
        <f t="shared" si="19"/>
        <v>336</v>
      </c>
      <c r="K234" s="1" t="s">
        <v>15</v>
      </c>
      <c r="L234">
        <v>20</v>
      </c>
      <c r="M234">
        <v>17</v>
      </c>
      <c r="N234">
        <v>264.7</v>
      </c>
      <c r="O234">
        <v>18.7</v>
      </c>
      <c r="P234">
        <f t="shared" si="20"/>
        <v>340</v>
      </c>
      <c r="Q234">
        <v>1654.3</v>
      </c>
      <c r="R234">
        <v>175.8</v>
      </c>
      <c r="S234">
        <f t="shared" si="21"/>
        <v>1830.1</v>
      </c>
      <c r="T234">
        <v>12</v>
      </c>
      <c r="U234" s="3">
        <f t="shared" si="22"/>
        <v>8692.1294144684489</v>
      </c>
      <c r="V234" s="3">
        <f t="shared" si="23"/>
        <v>242.34403905741641</v>
      </c>
    </row>
    <row r="235" spans="1:22" x14ac:dyDescent="0.3">
      <c r="A235">
        <v>2024</v>
      </c>
      <c r="B235" t="s">
        <v>35</v>
      </c>
      <c r="C235">
        <v>562</v>
      </c>
      <c r="D235" t="s">
        <v>10</v>
      </c>
      <c r="E235" s="1">
        <v>4</v>
      </c>
      <c r="F235" s="2" t="s">
        <v>11</v>
      </c>
      <c r="G235" s="2" t="s">
        <v>14</v>
      </c>
      <c r="H235" s="2">
        <f t="shared" si="18"/>
        <v>100</v>
      </c>
      <c r="I235" s="2">
        <v>236</v>
      </c>
      <c r="J235" s="2">
        <f t="shared" si="19"/>
        <v>336</v>
      </c>
      <c r="K235" s="1" t="s">
        <v>15</v>
      </c>
      <c r="L235">
        <v>34</v>
      </c>
      <c r="M235">
        <v>18</v>
      </c>
      <c r="N235">
        <v>264.7</v>
      </c>
      <c r="O235">
        <v>18.7</v>
      </c>
      <c r="P235">
        <f t="shared" si="20"/>
        <v>612</v>
      </c>
      <c r="Q235">
        <v>1654.3</v>
      </c>
      <c r="R235">
        <v>175.8</v>
      </c>
      <c r="S235">
        <f t="shared" si="21"/>
        <v>1830.1</v>
      </c>
      <c r="T235">
        <v>12</v>
      </c>
      <c r="U235" s="3">
        <f t="shared" si="22"/>
        <v>8692.1294144684489</v>
      </c>
      <c r="V235" s="3">
        <f t="shared" si="23"/>
        <v>242.34403905741641</v>
      </c>
    </row>
    <row r="236" spans="1:22" x14ac:dyDescent="0.3">
      <c r="A236">
        <v>2024</v>
      </c>
      <c r="B236" t="s">
        <v>35</v>
      </c>
      <c r="C236">
        <v>562</v>
      </c>
      <c r="D236" t="s">
        <v>10</v>
      </c>
      <c r="E236" s="1">
        <v>4</v>
      </c>
      <c r="F236" s="2" t="s">
        <v>11</v>
      </c>
      <c r="G236" s="2" t="s">
        <v>14</v>
      </c>
      <c r="H236" s="2">
        <f t="shared" si="18"/>
        <v>100</v>
      </c>
      <c r="I236" s="2">
        <v>236</v>
      </c>
      <c r="J236" s="2">
        <f t="shared" si="19"/>
        <v>336</v>
      </c>
      <c r="K236" s="1" t="s">
        <v>15</v>
      </c>
      <c r="L236">
        <v>32</v>
      </c>
      <c r="M236">
        <v>18</v>
      </c>
      <c r="N236">
        <v>264.7</v>
      </c>
      <c r="O236">
        <v>18.7</v>
      </c>
      <c r="P236">
        <f t="shared" si="20"/>
        <v>576</v>
      </c>
      <c r="Q236">
        <v>1654.3</v>
      </c>
      <c r="R236">
        <v>175.8</v>
      </c>
      <c r="S236">
        <f t="shared" si="21"/>
        <v>1830.1</v>
      </c>
      <c r="T236">
        <v>12</v>
      </c>
      <c r="U236" s="3">
        <f t="shared" si="22"/>
        <v>8692.1294144684489</v>
      </c>
      <c r="V236" s="3">
        <f t="shared" si="23"/>
        <v>242.34403905741641</v>
      </c>
    </row>
    <row r="237" spans="1:22" x14ac:dyDescent="0.3">
      <c r="A237">
        <v>2024</v>
      </c>
      <c r="B237" t="s">
        <v>35</v>
      </c>
      <c r="C237">
        <v>563</v>
      </c>
      <c r="D237" t="s">
        <v>10</v>
      </c>
      <c r="E237" s="1">
        <v>4</v>
      </c>
      <c r="F237" s="2" t="s">
        <v>11</v>
      </c>
      <c r="G237" s="2">
        <v>0</v>
      </c>
      <c r="H237" s="2">
        <f t="shared" si="18"/>
        <v>0</v>
      </c>
      <c r="I237" s="2">
        <v>0</v>
      </c>
      <c r="J237" s="2">
        <f t="shared" si="19"/>
        <v>0</v>
      </c>
      <c r="K237" s="1" t="s">
        <v>15</v>
      </c>
      <c r="L237">
        <v>20</v>
      </c>
      <c r="M237">
        <v>17</v>
      </c>
      <c r="N237">
        <v>253.1</v>
      </c>
      <c r="O237">
        <v>17.600000000000001</v>
      </c>
      <c r="P237">
        <f t="shared" si="20"/>
        <v>340</v>
      </c>
      <c r="Q237">
        <v>643</v>
      </c>
      <c r="R237">
        <v>123.2</v>
      </c>
      <c r="S237">
        <f t="shared" si="21"/>
        <v>766.2</v>
      </c>
      <c r="T237">
        <v>12</v>
      </c>
      <c r="U237" s="3">
        <f t="shared" si="22"/>
        <v>3589.6476844267445</v>
      </c>
      <c r="V237" s="3">
        <f t="shared" si="23"/>
        <v>100.08246278398033</v>
      </c>
    </row>
    <row r="238" spans="1:22" x14ac:dyDescent="0.3">
      <c r="A238">
        <v>2024</v>
      </c>
      <c r="B238" t="s">
        <v>35</v>
      </c>
      <c r="C238">
        <v>563</v>
      </c>
      <c r="D238" t="s">
        <v>10</v>
      </c>
      <c r="E238" s="1">
        <v>4</v>
      </c>
      <c r="F238" s="2" t="s">
        <v>11</v>
      </c>
      <c r="G238" s="2">
        <v>0</v>
      </c>
      <c r="H238" s="2">
        <f t="shared" si="18"/>
        <v>0</v>
      </c>
      <c r="I238" s="2">
        <v>0</v>
      </c>
      <c r="J238" s="2">
        <f t="shared" si="19"/>
        <v>0</v>
      </c>
      <c r="K238" s="1" t="s">
        <v>15</v>
      </c>
      <c r="L238">
        <v>19</v>
      </c>
      <c r="M238">
        <v>18</v>
      </c>
      <c r="N238">
        <v>253.1</v>
      </c>
      <c r="O238">
        <v>17.600000000000001</v>
      </c>
      <c r="P238">
        <f t="shared" si="20"/>
        <v>342</v>
      </c>
      <c r="Q238">
        <v>643</v>
      </c>
      <c r="R238">
        <v>123.2</v>
      </c>
      <c r="S238">
        <f t="shared" si="21"/>
        <v>766.2</v>
      </c>
      <c r="T238">
        <v>12</v>
      </c>
      <c r="U238" s="3">
        <f t="shared" si="22"/>
        <v>3589.6476844267445</v>
      </c>
      <c r="V238" s="3">
        <f t="shared" si="23"/>
        <v>100.08246278398033</v>
      </c>
    </row>
    <row r="239" spans="1:22" x14ac:dyDescent="0.3">
      <c r="A239">
        <v>2024</v>
      </c>
      <c r="B239" t="s">
        <v>35</v>
      </c>
      <c r="C239">
        <v>563</v>
      </c>
      <c r="D239" t="s">
        <v>10</v>
      </c>
      <c r="E239" s="1">
        <v>4</v>
      </c>
      <c r="F239" s="2" t="s">
        <v>11</v>
      </c>
      <c r="G239" s="2">
        <v>0</v>
      </c>
      <c r="H239" s="2">
        <f t="shared" si="18"/>
        <v>0</v>
      </c>
      <c r="I239" s="2">
        <v>0</v>
      </c>
      <c r="J239" s="2">
        <f t="shared" si="19"/>
        <v>0</v>
      </c>
      <c r="K239" s="1" t="s">
        <v>15</v>
      </c>
      <c r="L239">
        <v>19</v>
      </c>
      <c r="M239">
        <v>16</v>
      </c>
      <c r="N239">
        <v>253.1</v>
      </c>
      <c r="O239">
        <v>17.600000000000001</v>
      </c>
      <c r="P239">
        <f t="shared" si="20"/>
        <v>304</v>
      </c>
      <c r="Q239">
        <v>643</v>
      </c>
      <c r="R239">
        <v>123.2</v>
      </c>
      <c r="S239">
        <f t="shared" si="21"/>
        <v>766.2</v>
      </c>
      <c r="T239">
        <v>12</v>
      </c>
      <c r="U239" s="3">
        <f t="shared" si="22"/>
        <v>3589.6476844267445</v>
      </c>
      <c r="V239" s="3">
        <f t="shared" si="23"/>
        <v>100.08246278398033</v>
      </c>
    </row>
    <row r="240" spans="1:22" x14ac:dyDescent="0.3">
      <c r="A240">
        <v>2024</v>
      </c>
      <c r="B240" t="s">
        <v>35</v>
      </c>
      <c r="C240">
        <v>563</v>
      </c>
      <c r="D240" t="s">
        <v>10</v>
      </c>
      <c r="E240" s="1">
        <v>4</v>
      </c>
      <c r="F240" s="2" t="s">
        <v>11</v>
      </c>
      <c r="G240" s="2">
        <v>0</v>
      </c>
      <c r="H240" s="2">
        <f t="shared" si="18"/>
        <v>0</v>
      </c>
      <c r="I240" s="2">
        <v>0</v>
      </c>
      <c r="J240" s="2">
        <f t="shared" si="19"/>
        <v>0</v>
      </c>
      <c r="K240" s="1" t="s">
        <v>15</v>
      </c>
      <c r="L240">
        <v>16</v>
      </c>
      <c r="M240">
        <v>15</v>
      </c>
      <c r="N240">
        <v>253.1</v>
      </c>
      <c r="O240">
        <v>17.600000000000001</v>
      </c>
      <c r="P240">
        <f t="shared" si="20"/>
        <v>240</v>
      </c>
      <c r="Q240">
        <v>643</v>
      </c>
      <c r="R240">
        <v>123.2</v>
      </c>
      <c r="S240">
        <f t="shared" si="21"/>
        <v>766.2</v>
      </c>
      <c r="T240">
        <v>12</v>
      </c>
      <c r="U240" s="3">
        <f t="shared" si="22"/>
        <v>3589.6476844267445</v>
      </c>
      <c r="V240" s="3">
        <f t="shared" si="23"/>
        <v>100.08246278398033</v>
      </c>
    </row>
    <row r="241" spans="1:22" x14ac:dyDescent="0.3">
      <c r="A241">
        <v>2024</v>
      </c>
      <c r="B241" t="s">
        <v>35</v>
      </c>
      <c r="C241">
        <v>563</v>
      </c>
      <c r="D241" t="s">
        <v>10</v>
      </c>
      <c r="E241" s="1">
        <v>4</v>
      </c>
      <c r="F241" s="2" t="s">
        <v>11</v>
      </c>
      <c r="G241" s="2">
        <v>0</v>
      </c>
      <c r="H241" s="2">
        <f t="shared" si="18"/>
        <v>0</v>
      </c>
      <c r="I241" s="2">
        <v>0</v>
      </c>
      <c r="J241" s="2">
        <f t="shared" si="19"/>
        <v>0</v>
      </c>
      <c r="K241" s="1" t="s">
        <v>15</v>
      </c>
      <c r="L241">
        <v>9</v>
      </c>
      <c r="M241">
        <v>14</v>
      </c>
      <c r="N241">
        <v>253.1</v>
      </c>
      <c r="O241">
        <v>17.600000000000001</v>
      </c>
      <c r="P241">
        <f t="shared" si="20"/>
        <v>126</v>
      </c>
      <c r="Q241">
        <v>643</v>
      </c>
      <c r="R241">
        <v>123.2</v>
      </c>
      <c r="S241">
        <f t="shared" si="21"/>
        <v>766.2</v>
      </c>
      <c r="T241">
        <v>12</v>
      </c>
      <c r="U241" s="3">
        <f t="shared" si="22"/>
        <v>3589.6476844267445</v>
      </c>
      <c r="V241" s="3">
        <f t="shared" si="23"/>
        <v>100.08246278398033</v>
      </c>
    </row>
    <row r="242" spans="1:22" x14ac:dyDescent="0.3">
      <c r="A242">
        <v>2024</v>
      </c>
      <c r="B242" t="s">
        <v>35</v>
      </c>
      <c r="C242">
        <v>563</v>
      </c>
      <c r="D242" t="s">
        <v>10</v>
      </c>
      <c r="E242" s="1">
        <v>4</v>
      </c>
      <c r="F242" s="2" t="s">
        <v>11</v>
      </c>
      <c r="G242" s="2">
        <v>0</v>
      </c>
      <c r="H242" s="2">
        <f t="shared" si="18"/>
        <v>0</v>
      </c>
      <c r="I242" s="2">
        <v>0</v>
      </c>
      <c r="J242" s="2">
        <f t="shared" si="19"/>
        <v>0</v>
      </c>
      <c r="K242" s="1" t="s">
        <v>15</v>
      </c>
      <c r="L242">
        <v>23</v>
      </c>
      <c r="M242">
        <v>16</v>
      </c>
      <c r="N242">
        <v>253.1</v>
      </c>
      <c r="O242">
        <v>17.600000000000001</v>
      </c>
      <c r="P242">
        <f t="shared" si="20"/>
        <v>368</v>
      </c>
      <c r="Q242">
        <v>643</v>
      </c>
      <c r="R242">
        <v>123.2</v>
      </c>
      <c r="S242">
        <f t="shared" si="21"/>
        <v>766.2</v>
      </c>
      <c r="T242">
        <v>12</v>
      </c>
      <c r="U242" s="3">
        <f t="shared" si="22"/>
        <v>3589.6476844267445</v>
      </c>
      <c r="V242" s="3">
        <f t="shared" si="23"/>
        <v>100.08246278398033</v>
      </c>
    </row>
    <row r="243" spans="1:22" x14ac:dyDescent="0.3">
      <c r="A243">
        <v>2024</v>
      </c>
      <c r="B243" t="s">
        <v>35</v>
      </c>
      <c r="C243">
        <v>563</v>
      </c>
      <c r="D243" t="s">
        <v>10</v>
      </c>
      <c r="E243" s="1">
        <v>4</v>
      </c>
      <c r="F243" s="2" t="s">
        <v>11</v>
      </c>
      <c r="G243" s="2">
        <v>0</v>
      </c>
      <c r="H243" s="2">
        <f t="shared" si="18"/>
        <v>0</v>
      </c>
      <c r="I243" s="2">
        <v>0</v>
      </c>
      <c r="J243" s="2">
        <f t="shared" si="19"/>
        <v>0</v>
      </c>
      <c r="K243" s="1" t="s">
        <v>15</v>
      </c>
      <c r="L243">
        <v>16</v>
      </c>
      <c r="M243">
        <v>15</v>
      </c>
      <c r="N243">
        <v>253.1</v>
      </c>
      <c r="O243">
        <v>17.600000000000001</v>
      </c>
      <c r="P243">
        <f t="shared" si="20"/>
        <v>240</v>
      </c>
      <c r="Q243">
        <v>643</v>
      </c>
      <c r="R243">
        <v>123.2</v>
      </c>
      <c r="S243">
        <f t="shared" si="21"/>
        <v>766.2</v>
      </c>
      <c r="T243">
        <v>12</v>
      </c>
      <c r="U243" s="3">
        <f t="shared" si="22"/>
        <v>3589.6476844267445</v>
      </c>
      <c r="V243" s="3">
        <f t="shared" si="23"/>
        <v>100.08246278398033</v>
      </c>
    </row>
    <row r="244" spans="1:22" x14ac:dyDescent="0.3">
      <c r="A244">
        <v>2024</v>
      </c>
      <c r="B244" t="s">
        <v>35</v>
      </c>
      <c r="C244">
        <v>563</v>
      </c>
      <c r="D244" t="s">
        <v>10</v>
      </c>
      <c r="E244" s="1">
        <v>4</v>
      </c>
      <c r="F244" s="2" t="s">
        <v>11</v>
      </c>
      <c r="G244" s="2">
        <v>0</v>
      </c>
      <c r="H244" s="2">
        <f t="shared" si="18"/>
        <v>0</v>
      </c>
      <c r="I244" s="2">
        <v>0</v>
      </c>
      <c r="J244" s="2">
        <f t="shared" si="19"/>
        <v>0</v>
      </c>
      <c r="K244" s="1" t="s">
        <v>15</v>
      </c>
      <c r="L244">
        <v>6</v>
      </c>
      <c r="M244">
        <v>9</v>
      </c>
      <c r="N244">
        <v>253.1</v>
      </c>
      <c r="O244">
        <v>17.600000000000001</v>
      </c>
      <c r="P244">
        <f t="shared" si="20"/>
        <v>54</v>
      </c>
      <c r="Q244">
        <v>643</v>
      </c>
      <c r="R244">
        <v>123.2</v>
      </c>
      <c r="S244">
        <f t="shared" si="21"/>
        <v>766.2</v>
      </c>
      <c r="T244">
        <v>12</v>
      </c>
      <c r="U244" s="3">
        <f t="shared" si="22"/>
        <v>3589.6476844267445</v>
      </c>
      <c r="V244" s="3">
        <f t="shared" si="23"/>
        <v>100.08246278398033</v>
      </c>
    </row>
    <row r="245" spans="1:22" x14ac:dyDescent="0.3">
      <c r="A245">
        <v>2024</v>
      </c>
      <c r="B245" t="s">
        <v>35</v>
      </c>
      <c r="C245">
        <v>563</v>
      </c>
      <c r="D245" t="s">
        <v>10</v>
      </c>
      <c r="E245" s="1">
        <v>4</v>
      </c>
      <c r="F245" s="2" t="s">
        <v>11</v>
      </c>
      <c r="G245" s="2">
        <v>0</v>
      </c>
      <c r="H245" s="2">
        <f t="shared" si="18"/>
        <v>0</v>
      </c>
      <c r="I245" s="2">
        <v>0</v>
      </c>
      <c r="J245" s="2">
        <f t="shared" si="19"/>
        <v>0</v>
      </c>
      <c r="K245" s="1" t="s">
        <v>15</v>
      </c>
      <c r="L245">
        <v>17</v>
      </c>
      <c r="M245">
        <v>16</v>
      </c>
      <c r="N245">
        <v>253.1</v>
      </c>
      <c r="O245">
        <v>17.600000000000001</v>
      </c>
      <c r="P245">
        <f t="shared" si="20"/>
        <v>272</v>
      </c>
      <c r="Q245">
        <v>643</v>
      </c>
      <c r="R245">
        <v>123.2</v>
      </c>
      <c r="S245">
        <f t="shared" si="21"/>
        <v>766.2</v>
      </c>
      <c r="T245">
        <v>12</v>
      </c>
      <c r="U245" s="3">
        <f t="shared" si="22"/>
        <v>3589.6476844267445</v>
      </c>
      <c r="V245" s="3">
        <f t="shared" si="23"/>
        <v>100.08246278398033</v>
      </c>
    </row>
    <row r="246" spans="1:22" x14ac:dyDescent="0.3">
      <c r="A246">
        <v>2024</v>
      </c>
      <c r="B246" t="s">
        <v>35</v>
      </c>
      <c r="C246">
        <v>563</v>
      </c>
      <c r="D246" t="s">
        <v>10</v>
      </c>
      <c r="E246" s="1">
        <v>4</v>
      </c>
      <c r="F246" s="2" t="s">
        <v>11</v>
      </c>
      <c r="G246" s="2">
        <v>0</v>
      </c>
      <c r="H246" s="2">
        <f t="shared" si="18"/>
        <v>0</v>
      </c>
      <c r="I246" s="2">
        <v>0</v>
      </c>
      <c r="J246" s="2">
        <f t="shared" si="19"/>
        <v>0</v>
      </c>
      <c r="K246" s="1" t="s">
        <v>15</v>
      </c>
      <c r="L246">
        <v>8</v>
      </c>
      <c r="M246">
        <v>12</v>
      </c>
      <c r="N246">
        <v>253.1</v>
      </c>
      <c r="O246">
        <v>17.600000000000001</v>
      </c>
      <c r="P246">
        <f t="shared" si="20"/>
        <v>96</v>
      </c>
      <c r="Q246">
        <v>643</v>
      </c>
      <c r="R246">
        <v>123.2</v>
      </c>
      <c r="S246">
        <f t="shared" si="21"/>
        <v>766.2</v>
      </c>
      <c r="T246">
        <v>12</v>
      </c>
      <c r="U246" s="3">
        <f t="shared" si="22"/>
        <v>3589.6476844267445</v>
      </c>
      <c r="V246" s="3">
        <f t="shared" si="23"/>
        <v>100.08246278398033</v>
      </c>
    </row>
    <row r="247" spans="1:22" x14ac:dyDescent="0.3">
      <c r="A247">
        <v>2024</v>
      </c>
      <c r="B247" t="s">
        <v>35</v>
      </c>
      <c r="C247">
        <v>563</v>
      </c>
      <c r="D247" t="s">
        <v>10</v>
      </c>
      <c r="E247" s="1">
        <v>4</v>
      </c>
      <c r="F247" s="2" t="s">
        <v>11</v>
      </c>
      <c r="G247" s="2">
        <v>0</v>
      </c>
      <c r="H247" s="2">
        <f t="shared" si="18"/>
        <v>0</v>
      </c>
      <c r="I247" s="2">
        <v>0</v>
      </c>
      <c r="J247" s="2">
        <f t="shared" si="19"/>
        <v>0</v>
      </c>
      <c r="K247" s="1" t="s">
        <v>15</v>
      </c>
      <c r="L247">
        <v>12</v>
      </c>
      <c r="M247">
        <v>20</v>
      </c>
      <c r="N247">
        <v>253.1</v>
      </c>
      <c r="O247">
        <v>17.600000000000001</v>
      </c>
      <c r="P247">
        <f t="shared" si="20"/>
        <v>240</v>
      </c>
      <c r="Q247">
        <v>643</v>
      </c>
      <c r="R247">
        <v>123.2</v>
      </c>
      <c r="S247">
        <f t="shared" si="21"/>
        <v>766.2</v>
      </c>
      <c r="T247">
        <v>12</v>
      </c>
      <c r="U247" s="3">
        <f t="shared" si="22"/>
        <v>3589.6476844267445</v>
      </c>
      <c r="V247" s="3">
        <f t="shared" si="23"/>
        <v>100.08246278398033</v>
      </c>
    </row>
    <row r="248" spans="1:22" x14ac:dyDescent="0.3">
      <c r="A248">
        <v>2024</v>
      </c>
      <c r="B248" t="s">
        <v>35</v>
      </c>
      <c r="C248">
        <v>563</v>
      </c>
      <c r="D248" t="s">
        <v>10</v>
      </c>
      <c r="E248" s="1">
        <v>4</v>
      </c>
      <c r="F248" s="2" t="s">
        <v>11</v>
      </c>
      <c r="G248" s="2">
        <v>0</v>
      </c>
      <c r="H248" s="2">
        <f t="shared" si="18"/>
        <v>0</v>
      </c>
      <c r="I248" s="2">
        <v>0</v>
      </c>
      <c r="J248" s="2">
        <f t="shared" si="19"/>
        <v>0</v>
      </c>
      <c r="K248" s="1" t="s">
        <v>15</v>
      </c>
      <c r="L248">
        <v>22</v>
      </c>
      <c r="M248">
        <v>18</v>
      </c>
      <c r="N248">
        <v>253.1</v>
      </c>
      <c r="O248">
        <v>17.600000000000001</v>
      </c>
      <c r="P248">
        <f t="shared" si="20"/>
        <v>396</v>
      </c>
      <c r="Q248">
        <v>643</v>
      </c>
      <c r="R248">
        <v>123.2</v>
      </c>
      <c r="S248">
        <f t="shared" si="21"/>
        <v>766.2</v>
      </c>
      <c r="T248">
        <v>12</v>
      </c>
      <c r="U248" s="3">
        <f t="shared" si="22"/>
        <v>3589.6476844267445</v>
      </c>
      <c r="V248" s="3">
        <f t="shared" si="23"/>
        <v>100.08246278398033</v>
      </c>
    </row>
    <row r="249" spans="1:22" x14ac:dyDescent="0.3">
      <c r="A249">
        <v>2024</v>
      </c>
      <c r="B249" t="s">
        <v>35</v>
      </c>
      <c r="C249">
        <v>564</v>
      </c>
      <c r="D249" t="s">
        <v>10</v>
      </c>
      <c r="E249" s="1">
        <v>4</v>
      </c>
      <c r="F249" s="2" t="s">
        <v>12</v>
      </c>
      <c r="G249" s="2">
        <v>0</v>
      </c>
      <c r="H249" s="2">
        <f t="shared" si="18"/>
        <v>0</v>
      </c>
      <c r="I249" s="2">
        <v>0</v>
      </c>
      <c r="J249" s="2">
        <f t="shared" si="19"/>
        <v>0</v>
      </c>
      <c r="K249" s="1" t="s">
        <v>15</v>
      </c>
      <c r="L249">
        <v>17</v>
      </c>
      <c r="M249">
        <v>15</v>
      </c>
      <c r="N249">
        <v>247.1</v>
      </c>
      <c r="O249">
        <v>15.6</v>
      </c>
      <c r="P249">
        <f t="shared" si="20"/>
        <v>255</v>
      </c>
      <c r="Q249">
        <v>859.5</v>
      </c>
      <c r="R249">
        <v>137.80000000000001</v>
      </c>
      <c r="S249">
        <f t="shared" si="21"/>
        <v>997.3</v>
      </c>
      <c r="T249">
        <v>12</v>
      </c>
      <c r="U249" s="3">
        <f t="shared" si="22"/>
        <v>5413.4583933345539</v>
      </c>
      <c r="V249" s="3">
        <f t="shared" si="23"/>
        <v>150.93187293394615</v>
      </c>
    </row>
    <row r="250" spans="1:22" x14ac:dyDescent="0.3">
      <c r="A250">
        <v>2024</v>
      </c>
      <c r="B250" t="s">
        <v>35</v>
      </c>
      <c r="C250">
        <v>564</v>
      </c>
      <c r="D250" t="s">
        <v>10</v>
      </c>
      <c r="E250" s="1">
        <v>4</v>
      </c>
      <c r="F250" s="2" t="s">
        <v>12</v>
      </c>
      <c r="G250" s="2">
        <v>0</v>
      </c>
      <c r="H250" s="2">
        <f t="shared" si="18"/>
        <v>0</v>
      </c>
      <c r="I250" s="2">
        <v>0</v>
      </c>
      <c r="J250" s="2">
        <f t="shared" si="19"/>
        <v>0</v>
      </c>
      <c r="K250" s="1" t="s">
        <v>15</v>
      </c>
      <c r="L250">
        <v>23</v>
      </c>
      <c r="M250">
        <v>14</v>
      </c>
      <c r="N250">
        <v>247.1</v>
      </c>
      <c r="O250">
        <v>15.6</v>
      </c>
      <c r="P250">
        <f t="shared" si="20"/>
        <v>322</v>
      </c>
      <c r="Q250">
        <v>859.5</v>
      </c>
      <c r="R250">
        <v>137.80000000000001</v>
      </c>
      <c r="S250">
        <f t="shared" si="21"/>
        <v>997.3</v>
      </c>
      <c r="T250">
        <v>12</v>
      </c>
      <c r="U250" s="3">
        <f t="shared" si="22"/>
        <v>5413.4583933345539</v>
      </c>
      <c r="V250" s="3">
        <f t="shared" si="23"/>
        <v>150.93187293394615</v>
      </c>
    </row>
    <row r="251" spans="1:22" x14ac:dyDescent="0.3">
      <c r="A251">
        <v>2024</v>
      </c>
      <c r="B251" t="s">
        <v>35</v>
      </c>
      <c r="C251">
        <v>564</v>
      </c>
      <c r="D251" t="s">
        <v>10</v>
      </c>
      <c r="E251" s="1">
        <v>4</v>
      </c>
      <c r="F251" s="2" t="s">
        <v>12</v>
      </c>
      <c r="G251" s="2">
        <v>0</v>
      </c>
      <c r="H251" s="2">
        <f t="shared" si="18"/>
        <v>0</v>
      </c>
      <c r="I251" s="2">
        <v>0</v>
      </c>
      <c r="J251" s="2">
        <f t="shared" si="19"/>
        <v>0</v>
      </c>
      <c r="K251" s="1" t="s">
        <v>15</v>
      </c>
      <c r="L251">
        <v>20</v>
      </c>
      <c r="M251">
        <v>16</v>
      </c>
      <c r="N251">
        <v>247.1</v>
      </c>
      <c r="O251">
        <v>15.6</v>
      </c>
      <c r="P251">
        <f t="shared" si="20"/>
        <v>320</v>
      </c>
      <c r="Q251">
        <v>859.5</v>
      </c>
      <c r="R251">
        <v>137.80000000000001</v>
      </c>
      <c r="S251">
        <f t="shared" si="21"/>
        <v>997.3</v>
      </c>
      <c r="T251">
        <v>12</v>
      </c>
      <c r="U251" s="3">
        <f t="shared" si="22"/>
        <v>5413.4583933345539</v>
      </c>
      <c r="V251" s="3">
        <f t="shared" si="23"/>
        <v>150.93187293394615</v>
      </c>
    </row>
    <row r="252" spans="1:22" x14ac:dyDescent="0.3">
      <c r="A252">
        <v>2024</v>
      </c>
      <c r="B252" t="s">
        <v>35</v>
      </c>
      <c r="C252">
        <v>564</v>
      </c>
      <c r="D252" t="s">
        <v>10</v>
      </c>
      <c r="E252" s="1">
        <v>4</v>
      </c>
      <c r="F252" s="2" t="s">
        <v>12</v>
      </c>
      <c r="G252" s="2">
        <v>0</v>
      </c>
      <c r="H252" s="2">
        <f t="shared" si="18"/>
        <v>0</v>
      </c>
      <c r="I252" s="2">
        <v>0</v>
      </c>
      <c r="J252" s="2">
        <f t="shared" si="19"/>
        <v>0</v>
      </c>
      <c r="K252" s="1" t="s">
        <v>15</v>
      </c>
      <c r="L252">
        <v>26</v>
      </c>
      <c r="M252">
        <v>16</v>
      </c>
      <c r="N252">
        <v>247.1</v>
      </c>
      <c r="O252">
        <v>15.6</v>
      </c>
      <c r="P252">
        <f t="shared" si="20"/>
        <v>416</v>
      </c>
      <c r="Q252">
        <v>859.5</v>
      </c>
      <c r="R252">
        <v>137.80000000000001</v>
      </c>
      <c r="S252">
        <f t="shared" si="21"/>
        <v>997.3</v>
      </c>
      <c r="T252">
        <v>12</v>
      </c>
      <c r="U252" s="3">
        <f t="shared" si="22"/>
        <v>5413.4583933345539</v>
      </c>
      <c r="V252" s="3">
        <f t="shared" si="23"/>
        <v>150.93187293394615</v>
      </c>
    </row>
    <row r="253" spans="1:22" x14ac:dyDescent="0.3">
      <c r="A253">
        <v>2024</v>
      </c>
      <c r="B253" t="s">
        <v>35</v>
      </c>
      <c r="C253">
        <v>564</v>
      </c>
      <c r="D253" t="s">
        <v>10</v>
      </c>
      <c r="E253" s="1">
        <v>4</v>
      </c>
      <c r="F253" s="2" t="s">
        <v>12</v>
      </c>
      <c r="G253" s="2">
        <v>0</v>
      </c>
      <c r="H253" s="2">
        <f t="shared" si="18"/>
        <v>0</v>
      </c>
      <c r="I253" s="2">
        <v>0</v>
      </c>
      <c r="J253" s="2">
        <f t="shared" si="19"/>
        <v>0</v>
      </c>
      <c r="K253" s="1" t="s">
        <v>15</v>
      </c>
      <c r="L253">
        <v>17</v>
      </c>
      <c r="M253">
        <v>17</v>
      </c>
      <c r="N253">
        <v>247.1</v>
      </c>
      <c r="O253">
        <v>15.6</v>
      </c>
      <c r="P253">
        <f t="shared" si="20"/>
        <v>289</v>
      </c>
      <c r="Q253">
        <v>859.5</v>
      </c>
      <c r="R253">
        <v>137.80000000000001</v>
      </c>
      <c r="S253">
        <f t="shared" si="21"/>
        <v>997.3</v>
      </c>
      <c r="T253">
        <v>12</v>
      </c>
      <c r="U253" s="3">
        <f t="shared" si="22"/>
        <v>5413.4583933345539</v>
      </c>
      <c r="V253" s="3">
        <f t="shared" si="23"/>
        <v>150.93187293394615</v>
      </c>
    </row>
    <row r="254" spans="1:22" x14ac:dyDescent="0.3">
      <c r="A254">
        <v>2024</v>
      </c>
      <c r="B254" t="s">
        <v>35</v>
      </c>
      <c r="C254">
        <v>564</v>
      </c>
      <c r="D254" t="s">
        <v>10</v>
      </c>
      <c r="E254" s="1">
        <v>4</v>
      </c>
      <c r="F254" s="2" t="s">
        <v>12</v>
      </c>
      <c r="G254" s="2">
        <v>0</v>
      </c>
      <c r="H254" s="2">
        <f t="shared" si="18"/>
        <v>0</v>
      </c>
      <c r="I254" s="2">
        <v>0</v>
      </c>
      <c r="J254" s="2">
        <f t="shared" si="19"/>
        <v>0</v>
      </c>
      <c r="K254" s="1" t="s">
        <v>15</v>
      </c>
      <c r="L254">
        <v>22</v>
      </c>
      <c r="M254">
        <v>16</v>
      </c>
      <c r="N254">
        <v>247.1</v>
      </c>
      <c r="O254">
        <v>15.6</v>
      </c>
      <c r="P254">
        <f t="shared" si="20"/>
        <v>352</v>
      </c>
      <c r="Q254">
        <v>859.5</v>
      </c>
      <c r="R254">
        <v>137.80000000000001</v>
      </c>
      <c r="S254">
        <f t="shared" si="21"/>
        <v>997.3</v>
      </c>
      <c r="T254">
        <v>12</v>
      </c>
      <c r="U254" s="3">
        <f t="shared" si="22"/>
        <v>5413.4583933345539</v>
      </c>
      <c r="V254" s="3">
        <f t="shared" si="23"/>
        <v>150.93187293394615</v>
      </c>
    </row>
    <row r="255" spans="1:22" x14ac:dyDescent="0.3">
      <c r="A255">
        <v>2024</v>
      </c>
      <c r="B255" t="s">
        <v>35</v>
      </c>
      <c r="C255">
        <v>564</v>
      </c>
      <c r="D255" t="s">
        <v>10</v>
      </c>
      <c r="E255" s="1">
        <v>4</v>
      </c>
      <c r="F255" s="2" t="s">
        <v>12</v>
      </c>
      <c r="G255" s="2">
        <v>0</v>
      </c>
      <c r="H255" s="2">
        <f t="shared" si="18"/>
        <v>0</v>
      </c>
      <c r="I255" s="2">
        <v>0</v>
      </c>
      <c r="J255" s="2">
        <f t="shared" si="19"/>
        <v>0</v>
      </c>
      <c r="K255" s="1" t="s">
        <v>15</v>
      </c>
      <c r="L255">
        <v>12</v>
      </c>
      <c r="M255">
        <v>15</v>
      </c>
      <c r="N255">
        <v>247.1</v>
      </c>
      <c r="O255">
        <v>15.6</v>
      </c>
      <c r="P255">
        <f t="shared" si="20"/>
        <v>180</v>
      </c>
      <c r="Q255">
        <v>859.5</v>
      </c>
      <c r="R255">
        <v>137.80000000000001</v>
      </c>
      <c r="S255">
        <f t="shared" si="21"/>
        <v>997.3</v>
      </c>
      <c r="T255">
        <v>12</v>
      </c>
      <c r="U255" s="3">
        <f t="shared" si="22"/>
        <v>5413.4583933345539</v>
      </c>
      <c r="V255" s="3">
        <f t="shared" si="23"/>
        <v>150.93187293394615</v>
      </c>
    </row>
    <row r="256" spans="1:22" x14ac:dyDescent="0.3">
      <c r="A256">
        <v>2024</v>
      </c>
      <c r="B256" t="s">
        <v>35</v>
      </c>
      <c r="C256">
        <v>564</v>
      </c>
      <c r="D256" t="s">
        <v>10</v>
      </c>
      <c r="E256" s="1">
        <v>4</v>
      </c>
      <c r="F256" s="2" t="s">
        <v>12</v>
      </c>
      <c r="G256" s="2">
        <v>0</v>
      </c>
      <c r="H256" s="2">
        <f t="shared" si="18"/>
        <v>0</v>
      </c>
      <c r="I256" s="2">
        <v>0</v>
      </c>
      <c r="J256" s="2">
        <f t="shared" si="19"/>
        <v>0</v>
      </c>
      <c r="K256" s="1" t="s">
        <v>15</v>
      </c>
      <c r="L256">
        <v>25</v>
      </c>
      <c r="M256">
        <v>20</v>
      </c>
      <c r="N256">
        <v>247.1</v>
      </c>
      <c r="O256">
        <v>15.6</v>
      </c>
      <c r="P256">
        <f t="shared" si="20"/>
        <v>500</v>
      </c>
      <c r="Q256">
        <v>859.5</v>
      </c>
      <c r="R256">
        <v>137.80000000000001</v>
      </c>
      <c r="S256">
        <f t="shared" si="21"/>
        <v>997.3</v>
      </c>
      <c r="T256">
        <v>12</v>
      </c>
      <c r="U256" s="3">
        <f t="shared" si="22"/>
        <v>5413.4583933345539</v>
      </c>
      <c r="V256" s="3">
        <f t="shared" si="23"/>
        <v>150.93187293394615</v>
      </c>
    </row>
    <row r="257" spans="1:22" x14ac:dyDescent="0.3">
      <c r="A257">
        <v>2024</v>
      </c>
      <c r="B257" t="s">
        <v>35</v>
      </c>
      <c r="C257">
        <v>564</v>
      </c>
      <c r="D257" t="s">
        <v>10</v>
      </c>
      <c r="E257" s="1">
        <v>4</v>
      </c>
      <c r="F257" s="2" t="s">
        <v>12</v>
      </c>
      <c r="G257" s="2">
        <v>0</v>
      </c>
      <c r="H257" s="2">
        <f t="shared" si="18"/>
        <v>0</v>
      </c>
      <c r="I257" s="2">
        <v>0</v>
      </c>
      <c r="J257" s="2">
        <f t="shared" si="19"/>
        <v>0</v>
      </c>
      <c r="K257" s="1" t="s">
        <v>15</v>
      </c>
      <c r="L257">
        <v>18</v>
      </c>
      <c r="M257">
        <v>16</v>
      </c>
      <c r="N257">
        <v>247.1</v>
      </c>
      <c r="O257">
        <v>15.6</v>
      </c>
      <c r="P257">
        <f t="shared" si="20"/>
        <v>288</v>
      </c>
      <c r="Q257">
        <v>859.5</v>
      </c>
      <c r="R257">
        <v>137.80000000000001</v>
      </c>
      <c r="S257">
        <f t="shared" si="21"/>
        <v>997.3</v>
      </c>
      <c r="T257">
        <v>12</v>
      </c>
      <c r="U257" s="3">
        <f t="shared" si="22"/>
        <v>5413.4583933345539</v>
      </c>
      <c r="V257" s="3">
        <f t="shared" si="23"/>
        <v>150.93187293394615</v>
      </c>
    </row>
    <row r="258" spans="1:22" x14ac:dyDescent="0.3">
      <c r="A258">
        <v>2024</v>
      </c>
      <c r="B258" t="s">
        <v>35</v>
      </c>
      <c r="C258">
        <v>564</v>
      </c>
      <c r="D258" t="s">
        <v>10</v>
      </c>
      <c r="E258" s="1">
        <v>4</v>
      </c>
      <c r="F258" s="2" t="s">
        <v>12</v>
      </c>
      <c r="G258" s="2">
        <v>0</v>
      </c>
      <c r="H258" s="2">
        <f t="shared" si="18"/>
        <v>0</v>
      </c>
      <c r="I258" s="2">
        <v>0</v>
      </c>
      <c r="J258" s="2">
        <f t="shared" si="19"/>
        <v>0</v>
      </c>
      <c r="K258" s="1" t="s">
        <v>15</v>
      </c>
      <c r="L258">
        <v>18</v>
      </c>
      <c r="M258">
        <v>16</v>
      </c>
      <c r="N258">
        <v>247.1</v>
      </c>
      <c r="O258">
        <v>15.6</v>
      </c>
      <c r="P258">
        <f t="shared" si="20"/>
        <v>288</v>
      </c>
      <c r="Q258">
        <v>859.5</v>
      </c>
      <c r="R258">
        <v>137.80000000000001</v>
      </c>
      <c r="S258">
        <f t="shared" si="21"/>
        <v>997.3</v>
      </c>
      <c r="T258">
        <v>12</v>
      </c>
      <c r="U258" s="3">
        <f t="shared" si="22"/>
        <v>5413.4583933345539</v>
      </c>
      <c r="V258" s="3">
        <f t="shared" si="23"/>
        <v>150.93187293394615</v>
      </c>
    </row>
    <row r="259" spans="1:22" x14ac:dyDescent="0.3">
      <c r="A259">
        <v>2024</v>
      </c>
      <c r="B259" t="s">
        <v>35</v>
      </c>
      <c r="C259">
        <v>564</v>
      </c>
      <c r="D259" t="s">
        <v>10</v>
      </c>
      <c r="E259" s="1">
        <v>4</v>
      </c>
      <c r="F259" s="2" t="s">
        <v>12</v>
      </c>
      <c r="G259" s="2">
        <v>0</v>
      </c>
      <c r="H259" s="2">
        <f t="shared" ref="H259:H285" si="24">IF(OR(G259="VRN", G259="CFP"), 100, 0)</f>
        <v>0</v>
      </c>
      <c r="I259" s="2">
        <v>0</v>
      </c>
      <c r="J259" s="2">
        <f t="shared" ref="J259:J285" si="25">H259+I259</f>
        <v>0</v>
      </c>
      <c r="K259" s="1" t="s">
        <v>15</v>
      </c>
      <c r="L259">
        <v>24</v>
      </c>
      <c r="M259">
        <v>17</v>
      </c>
      <c r="N259">
        <v>247.1</v>
      </c>
      <c r="O259">
        <v>15.6</v>
      </c>
      <c r="P259">
        <f t="shared" ref="P259:P285" si="26">L259*M259</f>
        <v>408</v>
      </c>
      <c r="Q259">
        <v>859.5</v>
      </c>
      <c r="R259">
        <v>137.80000000000001</v>
      </c>
      <c r="S259">
        <f t="shared" ref="S259:S285" si="27">Q259+R259</f>
        <v>997.3</v>
      </c>
      <c r="T259">
        <v>12</v>
      </c>
      <c r="U259" s="3">
        <f t="shared" ref="U259:U285" si="28">((((Q259/1000)*10000)/1.577532)*15.5)/O259</f>
        <v>5413.4583933345539</v>
      </c>
      <c r="V259" s="3">
        <f t="shared" ref="V259:V285" si="29">U259/35.8669</f>
        <v>150.93187293394615</v>
      </c>
    </row>
    <row r="260" spans="1:22" x14ac:dyDescent="0.3">
      <c r="A260">
        <v>2024</v>
      </c>
      <c r="B260" t="s">
        <v>35</v>
      </c>
      <c r="C260">
        <v>564</v>
      </c>
      <c r="D260" t="s">
        <v>10</v>
      </c>
      <c r="E260" s="1">
        <v>4</v>
      </c>
      <c r="F260" s="2" t="s">
        <v>12</v>
      </c>
      <c r="G260" s="2">
        <v>0</v>
      </c>
      <c r="H260" s="2">
        <f t="shared" si="24"/>
        <v>0</v>
      </c>
      <c r="I260" s="2">
        <v>0</v>
      </c>
      <c r="J260" s="2">
        <f t="shared" si="25"/>
        <v>0</v>
      </c>
      <c r="K260" s="1" t="s">
        <v>15</v>
      </c>
      <c r="L260">
        <v>21</v>
      </c>
      <c r="M260">
        <v>17</v>
      </c>
      <c r="N260">
        <v>247.1</v>
      </c>
      <c r="O260">
        <v>15.6</v>
      </c>
      <c r="P260">
        <f t="shared" si="26"/>
        <v>357</v>
      </c>
      <c r="Q260">
        <v>859.5</v>
      </c>
      <c r="R260">
        <v>137.80000000000001</v>
      </c>
      <c r="S260">
        <f t="shared" si="27"/>
        <v>997.3</v>
      </c>
      <c r="T260">
        <v>12</v>
      </c>
      <c r="U260" s="3">
        <f t="shared" si="28"/>
        <v>5413.4583933345539</v>
      </c>
      <c r="V260" s="3">
        <f t="shared" si="29"/>
        <v>150.93187293394615</v>
      </c>
    </row>
    <row r="261" spans="1:22" x14ac:dyDescent="0.3">
      <c r="A261">
        <v>2024</v>
      </c>
      <c r="B261" t="s">
        <v>35</v>
      </c>
      <c r="C261">
        <v>565</v>
      </c>
      <c r="D261" t="s">
        <v>10</v>
      </c>
      <c r="E261" s="1">
        <v>4</v>
      </c>
      <c r="F261" s="2" t="s">
        <v>12</v>
      </c>
      <c r="G261" s="2" t="s">
        <v>13</v>
      </c>
      <c r="H261" s="2">
        <f t="shared" si="24"/>
        <v>100</v>
      </c>
      <c r="I261" s="2">
        <v>87.5</v>
      </c>
      <c r="J261" s="2">
        <f t="shared" si="25"/>
        <v>187.5</v>
      </c>
      <c r="K261" s="1" t="s">
        <v>15</v>
      </c>
      <c r="L261">
        <v>37</v>
      </c>
      <c r="M261">
        <v>16</v>
      </c>
      <c r="N261">
        <v>294.7</v>
      </c>
      <c r="O261">
        <v>21.4</v>
      </c>
      <c r="P261">
        <f t="shared" si="26"/>
        <v>592</v>
      </c>
      <c r="Q261">
        <v>2212.6999999999998</v>
      </c>
      <c r="R261">
        <v>255.9</v>
      </c>
      <c r="S261">
        <f t="shared" si="27"/>
        <v>2468.6</v>
      </c>
      <c r="T261">
        <v>12</v>
      </c>
      <c r="U261" s="3">
        <f t="shared" si="28"/>
        <v>10159.264864713203</v>
      </c>
      <c r="V261" s="3">
        <f t="shared" si="29"/>
        <v>283.24903642949914</v>
      </c>
    </row>
    <row r="262" spans="1:22" x14ac:dyDescent="0.3">
      <c r="A262">
        <v>2024</v>
      </c>
      <c r="B262" t="s">
        <v>35</v>
      </c>
      <c r="C262">
        <v>565</v>
      </c>
      <c r="D262" t="s">
        <v>10</v>
      </c>
      <c r="E262" s="1">
        <v>4</v>
      </c>
      <c r="F262" s="2" t="s">
        <v>12</v>
      </c>
      <c r="G262" s="2" t="s">
        <v>13</v>
      </c>
      <c r="H262" s="2">
        <f t="shared" si="24"/>
        <v>100</v>
      </c>
      <c r="I262" s="2">
        <v>87.5</v>
      </c>
      <c r="J262" s="2">
        <f t="shared" si="25"/>
        <v>187.5</v>
      </c>
      <c r="K262" s="1" t="s">
        <v>15</v>
      </c>
      <c r="L262">
        <v>28</v>
      </c>
      <c r="M262">
        <v>16</v>
      </c>
      <c r="N262">
        <v>294.7</v>
      </c>
      <c r="O262">
        <v>21.4</v>
      </c>
      <c r="P262">
        <f t="shared" si="26"/>
        <v>448</v>
      </c>
      <c r="Q262">
        <v>2212.6999999999998</v>
      </c>
      <c r="R262">
        <v>255.9</v>
      </c>
      <c r="S262">
        <f t="shared" si="27"/>
        <v>2468.6</v>
      </c>
      <c r="T262">
        <v>12</v>
      </c>
      <c r="U262" s="3">
        <f t="shared" si="28"/>
        <v>10159.264864713203</v>
      </c>
      <c r="V262" s="3">
        <f t="shared" si="29"/>
        <v>283.24903642949914</v>
      </c>
    </row>
    <row r="263" spans="1:22" x14ac:dyDescent="0.3">
      <c r="A263">
        <v>2024</v>
      </c>
      <c r="B263" t="s">
        <v>35</v>
      </c>
      <c r="C263">
        <v>565</v>
      </c>
      <c r="D263" t="s">
        <v>10</v>
      </c>
      <c r="E263" s="1">
        <v>4</v>
      </c>
      <c r="F263" s="2" t="s">
        <v>12</v>
      </c>
      <c r="G263" s="2" t="s">
        <v>13</v>
      </c>
      <c r="H263" s="2">
        <f t="shared" si="24"/>
        <v>100</v>
      </c>
      <c r="I263" s="2">
        <v>87.5</v>
      </c>
      <c r="J263" s="2">
        <f t="shared" si="25"/>
        <v>187.5</v>
      </c>
      <c r="K263" s="1" t="s">
        <v>15</v>
      </c>
      <c r="L263">
        <v>35</v>
      </c>
      <c r="M263">
        <v>18</v>
      </c>
      <c r="N263">
        <v>294.7</v>
      </c>
      <c r="O263">
        <v>21.4</v>
      </c>
      <c r="P263">
        <f t="shared" si="26"/>
        <v>630</v>
      </c>
      <c r="Q263">
        <v>2212.6999999999998</v>
      </c>
      <c r="R263">
        <v>255.9</v>
      </c>
      <c r="S263">
        <f t="shared" si="27"/>
        <v>2468.6</v>
      </c>
      <c r="T263">
        <v>12</v>
      </c>
      <c r="U263" s="3">
        <f t="shared" si="28"/>
        <v>10159.264864713203</v>
      </c>
      <c r="V263" s="3">
        <f t="shared" si="29"/>
        <v>283.24903642949914</v>
      </c>
    </row>
    <row r="264" spans="1:22" x14ac:dyDescent="0.3">
      <c r="A264">
        <v>2024</v>
      </c>
      <c r="B264" t="s">
        <v>35</v>
      </c>
      <c r="C264">
        <v>565</v>
      </c>
      <c r="D264" t="s">
        <v>10</v>
      </c>
      <c r="E264" s="1">
        <v>4</v>
      </c>
      <c r="F264" s="2" t="s">
        <v>12</v>
      </c>
      <c r="G264" s="2" t="s">
        <v>13</v>
      </c>
      <c r="H264" s="2">
        <f t="shared" si="24"/>
        <v>100</v>
      </c>
      <c r="I264" s="2">
        <v>87.5</v>
      </c>
      <c r="J264" s="2">
        <f t="shared" si="25"/>
        <v>187.5</v>
      </c>
      <c r="K264" s="1" t="s">
        <v>15</v>
      </c>
      <c r="L264">
        <v>35</v>
      </c>
      <c r="M264">
        <v>16</v>
      </c>
      <c r="N264">
        <v>294.7</v>
      </c>
      <c r="O264">
        <v>21.4</v>
      </c>
      <c r="P264">
        <f t="shared" si="26"/>
        <v>560</v>
      </c>
      <c r="Q264">
        <v>2212.6999999999998</v>
      </c>
      <c r="R264">
        <v>255.9</v>
      </c>
      <c r="S264">
        <f t="shared" si="27"/>
        <v>2468.6</v>
      </c>
      <c r="T264">
        <v>12</v>
      </c>
      <c r="U264" s="3">
        <f t="shared" si="28"/>
        <v>10159.264864713203</v>
      </c>
      <c r="V264" s="3">
        <f t="shared" si="29"/>
        <v>283.24903642949914</v>
      </c>
    </row>
    <row r="265" spans="1:22" x14ac:dyDescent="0.3">
      <c r="A265">
        <v>2024</v>
      </c>
      <c r="B265" t="s">
        <v>35</v>
      </c>
      <c r="C265">
        <v>565</v>
      </c>
      <c r="D265" t="s">
        <v>10</v>
      </c>
      <c r="E265" s="1">
        <v>4</v>
      </c>
      <c r="F265" s="2" t="s">
        <v>12</v>
      </c>
      <c r="G265" s="2" t="s">
        <v>13</v>
      </c>
      <c r="H265" s="2">
        <f t="shared" si="24"/>
        <v>100</v>
      </c>
      <c r="I265" s="2">
        <v>87.5</v>
      </c>
      <c r="J265" s="2">
        <f t="shared" si="25"/>
        <v>187.5</v>
      </c>
      <c r="K265" s="1" t="s">
        <v>15</v>
      </c>
      <c r="L265">
        <v>38</v>
      </c>
      <c r="M265">
        <v>18</v>
      </c>
      <c r="N265">
        <v>294.7</v>
      </c>
      <c r="O265">
        <v>21.4</v>
      </c>
      <c r="P265">
        <f t="shared" si="26"/>
        <v>684</v>
      </c>
      <c r="Q265">
        <v>2212.6999999999998</v>
      </c>
      <c r="R265">
        <v>255.9</v>
      </c>
      <c r="S265">
        <f t="shared" si="27"/>
        <v>2468.6</v>
      </c>
      <c r="T265">
        <v>12</v>
      </c>
      <c r="U265" s="3">
        <f t="shared" si="28"/>
        <v>10159.264864713203</v>
      </c>
      <c r="V265" s="3">
        <f t="shared" si="29"/>
        <v>283.24903642949914</v>
      </c>
    </row>
    <row r="266" spans="1:22" x14ac:dyDescent="0.3">
      <c r="A266">
        <v>2024</v>
      </c>
      <c r="B266" t="s">
        <v>35</v>
      </c>
      <c r="C266">
        <v>565</v>
      </c>
      <c r="D266" t="s">
        <v>10</v>
      </c>
      <c r="E266" s="1">
        <v>4</v>
      </c>
      <c r="F266" s="2" t="s">
        <v>12</v>
      </c>
      <c r="G266" s="2" t="s">
        <v>13</v>
      </c>
      <c r="H266" s="2">
        <f t="shared" si="24"/>
        <v>100</v>
      </c>
      <c r="I266" s="2">
        <v>87.5</v>
      </c>
      <c r="J266" s="2">
        <f t="shared" si="25"/>
        <v>187.5</v>
      </c>
      <c r="K266" s="1" t="s">
        <v>15</v>
      </c>
      <c r="L266">
        <v>38</v>
      </c>
      <c r="M266">
        <v>16</v>
      </c>
      <c r="N266">
        <v>294.7</v>
      </c>
      <c r="O266">
        <v>21.4</v>
      </c>
      <c r="P266">
        <f t="shared" si="26"/>
        <v>608</v>
      </c>
      <c r="Q266">
        <v>2212.6999999999998</v>
      </c>
      <c r="R266">
        <v>255.9</v>
      </c>
      <c r="S266">
        <f t="shared" si="27"/>
        <v>2468.6</v>
      </c>
      <c r="T266">
        <v>12</v>
      </c>
      <c r="U266" s="3">
        <f t="shared" si="28"/>
        <v>10159.264864713203</v>
      </c>
      <c r="V266" s="3">
        <f t="shared" si="29"/>
        <v>283.24903642949914</v>
      </c>
    </row>
    <row r="267" spans="1:22" x14ac:dyDescent="0.3">
      <c r="A267">
        <v>2024</v>
      </c>
      <c r="B267" t="s">
        <v>35</v>
      </c>
      <c r="C267">
        <v>565</v>
      </c>
      <c r="D267" t="s">
        <v>10</v>
      </c>
      <c r="E267" s="1">
        <v>4</v>
      </c>
      <c r="F267" s="2" t="s">
        <v>12</v>
      </c>
      <c r="G267" s="2" t="s">
        <v>13</v>
      </c>
      <c r="H267" s="2">
        <f t="shared" si="24"/>
        <v>100</v>
      </c>
      <c r="I267" s="2">
        <v>87.5</v>
      </c>
      <c r="J267" s="2">
        <f t="shared" si="25"/>
        <v>187.5</v>
      </c>
      <c r="K267" s="1" t="s">
        <v>15</v>
      </c>
      <c r="L267">
        <v>39</v>
      </c>
      <c r="M267">
        <v>18</v>
      </c>
      <c r="N267">
        <v>294.7</v>
      </c>
      <c r="O267">
        <v>21.4</v>
      </c>
      <c r="P267">
        <f t="shared" si="26"/>
        <v>702</v>
      </c>
      <c r="Q267">
        <v>2212.6999999999998</v>
      </c>
      <c r="R267">
        <v>255.9</v>
      </c>
      <c r="S267">
        <f t="shared" si="27"/>
        <v>2468.6</v>
      </c>
      <c r="T267">
        <v>12</v>
      </c>
      <c r="U267" s="3">
        <f t="shared" si="28"/>
        <v>10159.264864713203</v>
      </c>
      <c r="V267" s="3">
        <f t="shared" si="29"/>
        <v>283.24903642949914</v>
      </c>
    </row>
    <row r="268" spans="1:22" x14ac:dyDescent="0.3">
      <c r="A268">
        <v>2024</v>
      </c>
      <c r="B268" t="s">
        <v>35</v>
      </c>
      <c r="C268">
        <v>565</v>
      </c>
      <c r="D268" t="s">
        <v>10</v>
      </c>
      <c r="E268" s="1">
        <v>4</v>
      </c>
      <c r="F268" s="2" t="s">
        <v>12</v>
      </c>
      <c r="G268" s="2" t="s">
        <v>13</v>
      </c>
      <c r="H268" s="2">
        <f t="shared" si="24"/>
        <v>100</v>
      </c>
      <c r="I268" s="2">
        <v>87.5</v>
      </c>
      <c r="J268" s="2">
        <f t="shared" si="25"/>
        <v>187.5</v>
      </c>
      <c r="K268" s="1" t="s">
        <v>15</v>
      </c>
      <c r="L268">
        <v>35</v>
      </c>
      <c r="M268">
        <v>18</v>
      </c>
      <c r="N268">
        <v>294.7</v>
      </c>
      <c r="O268">
        <v>21.4</v>
      </c>
      <c r="P268">
        <f t="shared" si="26"/>
        <v>630</v>
      </c>
      <c r="Q268">
        <v>2212.6999999999998</v>
      </c>
      <c r="R268">
        <v>255.9</v>
      </c>
      <c r="S268">
        <f t="shared" si="27"/>
        <v>2468.6</v>
      </c>
      <c r="T268">
        <v>12</v>
      </c>
      <c r="U268" s="3">
        <f t="shared" si="28"/>
        <v>10159.264864713203</v>
      </c>
      <c r="V268" s="3">
        <f t="shared" si="29"/>
        <v>283.24903642949914</v>
      </c>
    </row>
    <row r="269" spans="1:22" x14ac:dyDescent="0.3">
      <c r="A269">
        <v>2024</v>
      </c>
      <c r="B269" t="s">
        <v>35</v>
      </c>
      <c r="C269">
        <v>565</v>
      </c>
      <c r="D269" t="s">
        <v>10</v>
      </c>
      <c r="E269" s="1">
        <v>4</v>
      </c>
      <c r="F269" s="2" t="s">
        <v>12</v>
      </c>
      <c r="G269" s="2" t="s">
        <v>13</v>
      </c>
      <c r="H269" s="2">
        <f t="shared" si="24"/>
        <v>100</v>
      </c>
      <c r="I269" s="2">
        <v>87.5</v>
      </c>
      <c r="J269" s="2">
        <f t="shared" si="25"/>
        <v>187.5</v>
      </c>
      <c r="K269" s="1" t="s">
        <v>15</v>
      </c>
      <c r="L269">
        <v>37</v>
      </c>
      <c r="M269">
        <v>16</v>
      </c>
      <c r="N269">
        <v>294.7</v>
      </c>
      <c r="O269">
        <v>21.4</v>
      </c>
      <c r="P269">
        <f t="shared" si="26"/>
        <v>592</v>
      </c>
      <c r="Q269">
        <v>2212.6999999999998</v>
      </c>
      <c r="R269">
        <v>255.9</v>
      </c>
      <c r="S269">
        <f t="shared" si="27"/>
        <v>2468.6</v>
      </c>
      <c r="T269">
        <v>12</v>
      </c>
      <c r="U269" s="3">
        <f t="shared" si="28"/>
        <v>10159.264864713203</v>
      </c>
      <c r="V269" s="3">
        <f t="shared" si="29"/>
        <v>283.24903642949914</v>
      </c>
    </row>
    <row r="270" spans="1:22" x14ac:dyDescent="0.3">
      <c r="A270">
        <v>2024</v>
      </c>
      <c r="B270" t="s">
        <v>35</v>
      </c>
      <c r="C270">
        <v>565</v>
      </c>
      <c r="D270" t="s">
        <v>10</v>
      </c>
      <c r="E270" s="1">
        <v>4</v>
      </c>
      <c r="F270" s="2" t="s">
        <v>12</v>
      </c>
      <c r="G270" s="2" t="s">
        <v>13</v>
      </c>
      <c r="H270" s="2">
        <f t="shared" si="24"/>
        <v>100</v>
      </c>
      <c r="I270" s="2">
        <v>87.5</v>
      </c>
      <c r="J270" s="2">
        <f t="shared" si="25"/>
        <v>187.5</v>
      </c>
      <c r="K270" s="1" t="s">
        <v>15</v>
      </c>
      <c r="L270">
        <v>34</v>
      </c>
      <c r="M270">
        <v>18</v>
      </c>
      <c r="N270">
        <v>294.7</v>
      </c>
      <c r="O270">
        <v>21.4</v>
      </c>
      <c r="P270">
        <f t="shared" si="26"/>
        <v>612</v>
      </c>
      <c r="Q270">
        <v>2212.6999999999998</v>
      </c>
      <c r="R270">
        <v>255.9</v>
      </c>
      <c r="S270">
        <f t="shared" si="27"/>
        <v>2468.6</v>
      </c>
      <c r="T270">
        <v>12</v>
      </c>
      <c r="U270" s="3">
        <f t="shared" si="28"/>
        <v>10159.264864713203</v>
      </c>
      <c r="V270" s="3">
        <f t="shared" si="29"/>
        <v>283.24903642949914</v>
      </c>
    </row>
    <row r="271" spans="1:22" x14ac:dyDescent="0.3">
      <c r="A271">
        <v>2024</v>
      </c>
      <c r="B271" t="s">
        <v>35</v>
      </c>
      <c r="C271">
        <v>565</v>
      </c>
      <c r="D271" t="s">
        <v>10</v>
      </c>
      <c r="E271" s="1">
        <v>4</v>
      </c>
      <c r="F271" s="2" t="s">
        <v>12</v>
      </c>
      <c r="G271" s="2" t="s">
        <v>13</v>
      </c>
      <c r="H271" s="2">
        <f t="shared" si="24"/>
        <v>100</v>
      </c>
      <c r="I271" s="2">
        <v>87.5</v>
      </c>
      <c r="J271" s="2">
        <f t="shared" si="25"/>
        <v>187.5</v>
      </c>
      <c r="K271" s="1" t="s">
        <v>15</v>
      </c>
      <c r="L271">
        <v>37</v>
      </c>
      <c r="M271">
        <v>17</v>
      </c>
      <c r="N271">
        <v>294.7</v>
      </c>
      <c r="O271">
        <v>21.4</v>
      </c>
      <c r="P271">
        <f t="shared" si="26"/>
        <v>629</v>
      </c>
      <c r="Q271">
        <v>2212.6999999999998</v>
      </c>
      <c r="R271">
        <v>255.9</v>
      </c>
      <c r="S271">
        <f t="shared" si="27"/>
        <v>2468.6</v>
      </c>
      <c r="T271">
        <v>12</v>
      </c>
      <c r="U271" s="3">
        <f t="shared" si="28"/>
        <v>10159.264864713203</v>
      </c>
      <c r="V271" s="3">
        <f t="shared" si="29"/>
        <v>283.24903642949914</v>
      </c>
    </row>
    <row r="272" spans="1:22" x14ac:dyDescent="0.3">
      <c r="A272">
        <v>2024</v>
      </c>
      <c r="B272" t="s">
        <v>35</v>
      </c>
      <c r="C272">
        <v>565</v>
      </c>
      <c r="D272" t="s">
        <v>10</v>
      </c>
      <c r="E272" s="1">
        <v>4</v>
      </c>
      <c r="F272" s="2" t="s">
        <v>12</v>
      </c>
      <c r="G272" s="2" t="s">
        <v>13</v>
      </c>
      <c r="H272" s="2">
        <f t="shared" si="24"/>
        <v>100</v>
      </c>
      <c r="I272" s="2">
        <v>87.5</v>
      </c>
      <c r="J272" s="2">
        <f t="shared" si="25"/>
        <v>187.5</v>
      </c>
      <c r="K272" s="1" t="s">
        <v>15</v>
      </c>
      <c r="L272">
        <v>30</v>
      </c>
      <c r="M272">
        <v>18</v>
      </c>
      <c r="N272">
        <v>294.7</v>
      </c>
      <c r="O272">
        <v>21.4</v>
      </c>
      <c r="P272">
        <f t="shared" si="26"/>
        <v>540</v>
      </c>
      <c r="Q272">
        <v>2212.6999999999998</v>
      </c>
      <c r="R272">
        <v>255.9</v>
      </c>
      <c r="S272">
        <f t="shared" si="27"/>
        <v>2468.6</v>
      </c>
      <c r="T272">
        <v>12</v>
      </c>
      <c r="U272" s="3">
        <f t="shared" si="28"/>
        <v>10159.264864713203</v>
      </c>
      <c r="V272" s="3">
        <f t="shared" si="29"/>
        <v>283.24903642949914</v>
      </c>
    </row>
    <row r="273" spans="1:22" x14ac:dyDescent="0.3">
      <c r="A273">
        <v>2024</v>
      </c>
      <c r="B273" t="s">
        <v>35</v>
      </c>
      <c r="C273">
        <v>566</v>
      </c>
      <c r="D273" t="s">
        <v>10</v>
      </c>
      <c r="E273" s="1">
        <v>4</v>
      </c>
      <c r="F273" s="2" t="s">
        <v>12</v>
      </c>
      <c r="G273" s="2" t="s">
        <v>14</v>
      </c>
      <c r="H273" s="2">
        <f t="shared" si="24"/>
        <v>100</v>
      </c>
      <c r="I273" s="2">
        <v>236</v>
      </c>
      <c r="J273" s="2">
        <f t="shared" si="25"/>
        <v>336</v>
      </c>
      <c r="K273" s="1" t="s">
        <v>15</v>
      </c>
      <c r="L273">
        <v>31</v>
      </c>
      <c r="M273">
        <v>18</v>
      </c>
      <c r="N273">
        <v>309.39999999999998</v>
      </c>
      <c r="O273">
        <v>18.2</v>
      </c>
      <c r="P273">
        <f t="shared" si="26"/>
        <v>558</v>
      </c>
      <c r="Q273">
        <v>2680.8</v>
      </c>
      <c r="R273">
        <v>233.1</v>
      </c>
      <c r="S273">
        <f t="shared" si="27"/>
        <v>2913.9</v>
      </c>
      <c r="T273">
        <v>13</v>
      </c>
      <c r="U273" s="3">
        <f t="shared" si="28"/>
        <v>14472.599611918498</v>
      </c>
      <c r="V273" s="3">
        <f t="shared" si="29"/>
        <v>403.50851654083561</v>
      </c>
    </row>
    <row r="274" spans="1:22" x14ac:dyDescent="0.3">
      <c r="A274">
        <v>2024</v>
      </c>
      <c r="B274" t="s">
        <v>35</v>
      </c>
      <c r="C274">
        <v>566</v>
      </c>
      <c r="D274" t="s">
        <v>10</v>
      </c>
      <c r="E274" s="1">
        <v>4</v>
      </c>
      <c r="F274" s="2" t="s">
        <v>12</v>
      </c>
      <c r="G274" s="2" t="s">
        <v>14</v>
      </c>
      <c r="H274" s="2">
        <f t="shared" si="24"/>
        <v>100</v>
      </c>
      <c r="I274" s="2">
        <v>236</v>
      </c>
      <c r="J274" s="2">
        <f t="shared" si="25"/>
        <v>336</v>
      </c>
      <c r="K274" s="1" t="s">
        <v>15</v>
      </c>
      <c r="L274">
        <v>35</v>
      </c>
      <c r="M274">
        <v>17</v>
      </c>
      <c r="N274">
        <v>309.39999999999998</v>
      </c>
      <c r="O274">
        <v>18.2</v>
      </c>
      <c r="P274">
        <f t="shared" si="26"/>
        <v>595</v>
      </c>
      <c r="Q274">
        <v>2680.8</v>
      </c>
      <c r="R274">
        <v>233.1</v>
      </c>
      <c r="S274">
        <f t="shared" si="27"/>
        <v>2913.9</v>
      </c>
      <c r="T274">
        <v>13</v>
      </c>
      <c r="U274" s="3">
        <f t="shared" si="28"/>
        <v>14472.599611918498</v>
      </c>
      <c r="V274" s="3">
        <f t="shared" si="29"/>
        <v>403.50851654083561</v>
      </c>
    </row>
    <row r="275" spans="1:22" x14ac:dyDescent="0.3">
      <c r="A275">
        <v>2024</v>
      </c>
      <c r="B275" t="s">
        <v>35</v>
      </c>
      <c r="C275">
        <v>566</v>
      </c>
      <c r="D275" t="s">
        <v>10</v>
      </c>
      <c r="E275" s="1">
        <v>4</v>
      </c>
      <c r="F275" s="2" t="s">
        <v>12</v>
      </c>
      <c r="G275" s="2" t="s">
        <v>14</v>
      </c>
      <c r="H275" s="2">
        <f t="shared" si="24"/>
        <v>100</v>
      </c>
      <c r="I275" s="2">
        <v>236</v>
      </c>
      <c r="J275" s="2">
        <f t="shared" si="25"/>
        <v>336</v>
      </c>
      <c r="K275" s="1" t="s">
        <v>15</v>
      </c>
      <c r="L275">
        <v>37</v>
      </c>
      <c r="M275">
        <v>19</v>
      </c>
      <c r="N275">
        <v>309.39999999999998</v>
      </c>
      <c r="O275">
        <v>18.2</v>
      </c>
      <c r="P275">
        <f t="shared" si="26"/>
        <v>703</v>
      </c>
      <c r="Q275">
        <v>2680.8</v>
      </c>
      <c r="R275">
        <v>233.1</v>
      </c>
      <c r="S275">
        <f t="shared" si="27"/>
        <v>2913.9</v>
      </c>
      <c r="T275">
        <v>13</v>
      </c>
      <c r="U275" s="3">
        <f t="shared" si="28"/>
        <v>14472.599611918498</v>
      </c>
      <c r="V275" s="3">
        <f t="shared" si="29"/>
        <v>403.50851654083561</v>
      </c>
    </row>
    <row r="276" spans="1:22" x14ac:dyDescent="0.3">
      <c r="A276">
        <v>2024</v>
      </c>
      <c r="B276" t="s">
        <v>35</v>
      </c>
      <c r="C276">
        <v>566</v>
      </c>
      <c r="D276" t="s">
        <v>10</v>
      </c>
      <c r="E276" s="1">
        <v>4</v>
      </c>
      <c r="F276" s="2" t="s">
        <v>12</v>
      </c>
      <c r="G276" s="2" t="s">
        <v>14</v>
      </c>
      <c r="H276" s="2">
        <f t="shared" si="24"/>
        <v>100</v>
      </c>
      <c r="I276" s="2">
        <v>236</v>
      </c>
      <c r="J276" s="2">
        <f t="shared" si="25"/>
        <v>336</v>
      </c>
      <c r="K276" s="1" t="s">
        <v>15</v>
      </c>
      <c r="L276">
        <v>31</v>
      </c>
      <c r="M276">
        <v>18</v>
      </c>
      <c r="N276">
        <v>309.39999999999998</v>
      </c>
      <c r="O276">
        <v>18.2</v>
      </c>
      <c r="P276">
        <f t="shared" si="26"/>
        <v>558</v>
      </c>
      <c r="Q276">
        <v>2680.8</v>
      </c>
      <c r="R276">
        <v>233.1</v>
      </c>
      <c r="S276">
        <f t="shared" si="27"/>
        <v>2913.9</v>
      </c>
      <c r="T276">
        <v>13</v>
      </c>
      <c r="U276" s="3">
        <f t="shared" si="28"/>
        <v>14472.599611918498</v>
      </c>
      <c r="V276" s="3">
        <f t="shared" si="29"/>
        <v>403.50851654083561</v>
      </c>
    </row>
    <row r="277" spans="1:22" x14ac:dyDescent="0.3">
      <c r="A277">
        <v>2024</v>
      </c>
      <c r="B277" t="s">
        <v>35</v>
      </c>
      <c r="C277">
        <v>566</v>
      </c>
      <c r="D277" t="s">
        <v>10</v>
      </c>
      <c r="E277" s="1">
        <v>4</v>
      </c>
      <c r="F277" s="2" t="s">
        <v>12</v>
      </c>
      <c r="G277" s="2" t="s">
        <v>14</v>
      </c>
      <c r="H277" s="2">
        <f t="shared" si="24"/>
        <v>100</v>
      </c>
      <c r="I277" s="2">
        <v>236</v>
      </c>
      <c r="J277" s="2">
        <f t="shared" si="25"/>
        <v>336</v>
      </c>
      <c r="K277" s="1" t="s">
        <v>15</v>
      </c>
      <c r="L277">
        <v>35</v>
      </c>
      <c r="M277">
        <v>16</v>
      </c>
      <c r="N277">
        <v>309.39999999999998</v>
      </c>
      <c r="O277">
        <v>18.2</v>
      </c>
      <c r="P277">
        <f t="shared" si="26"/>
        <v>560</v>
      </c>
      <c r="Q277">
        <v>2680.8</v>
      </c>
      <c r="R277">
        <v>233.1</v>
      </c>
      <c r="S277">
        <f t="shared" si="27"/>
        <v>2913.9</v>
      </c>
      <c r="T277">
        <v>13</v>
      </c>
      <c r="U277" s="3">
        <f t="shared" si="28"/>
        <v>14472.599611918498</v>
      </c>
      <c r="V277" s="3">
        <f t="shared" si="29"/>
        <v>403.50851654083561</v>
      </c>
    </row>
    <row r="278" spans="1:22" x14ac:dyDescent="0.3">
      <c r="A278">
        <v>2024</v>
      </c>
      <c r="B278" t="s">
        <v>35</v>
      </c>
      <c r="C278">
        <v>566</v>
      </c>
      <c r="D278" t="s">
        <v>10</v>
      </c>
      <c r="E278" s="1">
        <v>4</v>
      </c>
      <c r="F278" s="2" t="s">
        <v>12</v>
      </c>
      <c r="G278" s="2" t="s">
        <v>14</v>
      </c>
      <c r="H278" s="2">
        <f t="shared" si="24"/>
        <v>100</v>
      </c>
      <c r="I278" s="2">
        <v>236</v>
      </c>
      <c r="J278" s="2">
        <f t="shared" si="25"/>
        <v>336</v>
      </c>
      <c r="K278" s="1" t="s">
        <v>15</v>
      </c>
      <c r="L278">
        <v>36</v>
      </c>
      <c r="M278">
        <v>18</v>
      </c>
      <c r="N278">
        <v>309.39999999999998</v>
      </c>
      <c r="O278">
        <v>18.2</v>
      </c>
      <c r="P278">
        <f t="shared" si="26"/>
        <v>648</v>
      </c>
      <c r="Q278">
        <v>2680.8</v>
      </c>
      <c r="R278">
        <v>233.1</v>
      </c>
      <c r="S278">
        <f t="shared" si="27"/>
        <v>2913.9</v>
      </c>
      <c r="T278">
        <v>13</v>
      </c>
      <c r="U278" s="3">
        <f t="shared" si="28"/>
        <v>14472.599611918498</v>
      </c>
      <c r="V278" s="3">
        <f t="shared" si="29"/>
        <v>403.50851654083561</v>
      </c>
    </row>
    <row r="279" spans="1:22" x14ac:dyDescent="0.3">
      <c r="A279">
        <v>2024</v>
      </c>
      <c r="B279" t="s">
        <v>35</v>
      </c>
      <c r="C279">
        <v>566</v>
      </c>
      <c r="D279" t="s">
        <v>10</v>
      </c>
      <c r="E279" s="1">
        <v>4</v>
      </c>
      <c r="F279" s="2" t="s">
        <v>12</v>
      </c>
      <c r="G279" s="2" t="s">
        <v>14</v>
      </c>
      <c r="H279" s="2">
        <f t="shared" si="24"/>
        <v>100</v>
      </c>
      <c r="I279" s="2">
        <v>236</v>
      </c>
      <c r="J279" s="2">
        <f t="shared" si="25"/>
        <v>336</v>
      </c>
      <c r="K279" s="1" t="s">
        <v>15</v>
      </c>
      <c r="L279">
        <v>38</v>
      </c>
      <c r="M279">
        <v>18</v>
      </c>
      <c r="N279">
        <v>309.39999999999998</v>
      </c>
      <c r="O279">
        <v>18.2</v>
      </c>
      <c r="P279">
        <f t="shared" si="26"/>
        <v>684</v>
      </c>
      <c r="Q279">
        <v>2680.8</v>
      </c>
      <c r="R279">
        <v>233.1</v>
      </c>
      <c r="S279">
        <f t="shared" si="27"/>
        <v>2913.9</v>
      </c>
      <c r="T279">
        <v>13</v>
      </c>
      <c r="U279" s="3">
        <f t="shared" si="28"/>
        <v>14472.599611918498</v>
      </c>
      <c r="V279" s="3">
        <f t="shared" si="29"/>
        <v>403.50851654083561</v>
      </c>
    </row>
    <row r="280" spans="1:22" x14ac:dyDescent="0.3">
      <c r="A280">
        <v>2024</v>
      </c>
      <c r="B280" t="s">
        <v>35</v>
      </c>
      <c r="C280">
        <v>566</v>
      </c>
      <c r="D280" t="s">
        <v>10</v>
      </c>
      <c r="E280" s="1">
        <v>4</v>
      </c>
      <c r="F280" s="2" t="s">
        <v>12</v>
      </c>
      <c r="G280" s="2" t="s">
        <v>14</v>
      </c>
      <c r="H280" s="2">
        <f t="shared" si="24"/>
        <v>100</v>
      </c>
      <c r="I280" s="2">
        <v>236</v>
      </c>
      <c r="J280" s="2">
        <f t="shared" si="25"/>
        <v>336</v>
      </c>
      <c r="K280" s="1" t="s">
        <v>15</v>
      </c>
      <c r="L280">
        <v>41</v>
      </c>
      <c r="M280">
        <v>18</v>
      </c>
      <c r="N280">
        <v>309.39999999999998</v>
      </c>
      <c r="O280">
        <v>18.2</v>
      </c>
      <c r="P280">
        <f t="shared" si="26"/>
        <v>738</v>
      </c>
      <c r="Q280">
        <v>2680.8</v>
      </c>
      <c r="R280">
        <v>233.1</v>
      </c>
      <c r="S280">
        <f t="shared" si="27"/>
        <v>2913.9</v>
      </c>
      <c r="T280">
        <v>13</v>
      </c>
      <c r="U280" s="3">
        <f t="shared" si="28"/>
        <v>14472.599611918498</v>
      </c>
      <c r="V280" s="3">
        <f t="shared" si="29"/>
        <v>403.50851654083561</v>
      </c>
    </row>
    <row r="281" spans="1:22" x14ac:dyDescent="0.3">
      <c r="A281">
        <v>2024</v>
      </c>
      <c r="B281" t="s">
        <v>35</v>
      </c>
      <c r="C281">
        <v>566</v>
      </c>
      <c r="D281" t="s">
        <v>10</v>
      </c>
      <c r="E281" s="1">
        <v>4</v>
      </c>
      <c r="F281" s="2" t="s">
        <v>12</v>
      </c>
      <c r="G281" s="2" t="s">
        <v>14</v>
      </c>
      <c r="H281" s="2">
        <f t="shared" si="24"/>
        <v>100</v>
      </c>
      <c r="I281" s="2">
        <v>236</v>
      </c>
      <c r="J281" s="2">
        <f t="shared" si="25"/>
        <v>336</v>
      </c>
      <c r="K281" s="1" t="s">
        <v>15</v>
      </c>
      <c r="L281">
        <v>34</v>
      </c>
      <c r="M281">
        <v>18</v>
      </c>
      <c r="N281">
        <v>309.39999999999998</v>
      </c>
      <c r="O281">
        <v>18.2</v>
      </c>
      <c r="P281">
        <f t="shared" si="26"/>
        <v>612</v>
      </c>
      <c r="Q281">
        <v>2680.8</v>
      </c>
      <c r="R281">
        <v>233.1</v>
      </c>
      <c r="S281">
        <f t="shared" si="27"/>
        <v>2913.9</v>
      </c>
      <c r="T281">
        <v>13</v>
      </c>
      <c r="U281" s="3">
        <f t="shared" si="28"/>
        <v>14472.599611918498</v>
      </c>
      <c r="V281" s="3">
        <f t="shared" si="29"/>
        <v>403.50851654083561</v>
      </c>
    </row>
    <row r="282" spans="1:22" x14ac:dyDescent="0.3">
      <c r="A282">
        <v>2024</v>
      </c>
      <c r="B282" t="s">
        <v>35</v>
      </c>
      <c r="C282">
        <v>566</v>
      </c>
      <c r="D282" t="s">
        <v>10</v>
      </c>
      <c r="E282" s="1">
        <v>4</v>
      </c>
      <c r="F282" s="2" t="s">
        <v>12</v>
      </c>
      <c r="G282" s="2" t="s">
        <v>14</v>
      </c>
      <c r="H282" s="2">
        <f t="shared" si="24"/>
        <v>100</v>
      </c>
      <c r="I282" s="2">
        <v>236</v>
      </c>
      <c r="J282" s="2">
        <f t="shared" si="25"/>
        <v>336</v>
      </c>
      <c r="K282" s="1" t="s">
        <v>15</v>
      </c>
      <c r="L282">
        <v>24</v>
      </c>
      <c r="M282">
        <v>18</v>
      </c>
      <c r="N282">
        <v>309.39999999999998</v>
      </c>
      <c r="O282">
        <v>18.2</v>
      </c>
      <c r="P282">
        <f t="shared" si="26"/>
        <v>432</v>
      </c>
      <c r="Q282">
        <v>2680.8</v>
      </c>
      <c r="R282">
        <v>233.1</v>
      </c>
      <c r="S282">
        <f t="shared" si="27"/>
        <v>2913.9</v>
      </c>
      <c r="T282">
        <v>13</v>
      </c>
      <c r="U282" s="3">
        <f t="shared" si="28"/>
        <v>14472.599611918498</v>
      </c>
      <c r="V282" s="3">
        <f t="shared" si="29"/>
        <v>403.50851654083561</v>
      </c>
    </row>
    <row r="283" spans="1:22" x14ac:dyDescent="0.3">
      <c r="A283">
        <v>2024</v>
      </c>
      <c r="B283" t="s">
        <v>35</v>
      </c>
      <c r="C283">
        <v>566</v>
      </c>
      <c r="D283" t="s">
        <v>10</v>
      </c>
      <c r="E283" s="1">
        <v>4</v>
      </c>
      <c r="F283" s="2" t="s">
        <v>12</v>
      </c>
      <c r="G283" s="2" t="s">
        <v>14</v>
      </c>
      <c r="H283" s="2">
        <f t="shared" si="24"/>
        <v>100</v>
      </c>
      <c r="I283" s="2">
        <v>236</v>
      </c>
      <c r="J283" s="2">
        <f t="shared" si="25"/>
        <v>336</v>
      </c>
      <c r="K283" s="1" t="s">
        <v>15</v>
      </c>
      <c r="L283">
        <v>28</v>
      </c>
      <c r="M283">
        <v>20</v>
      </c>
      <c r="N283">
        <v>309.39999999999998</v>
      </c>
      <c r="O283">
        <v>18.2</v>
      </c>
      <c r="P283">
        <f t="shared" si="26"/>
        <v>560</v>
      </c>
      <c r="Q283">
        <v>2680.8</v>
      </c>
      <c r="R283">
        <v>233.1</v>
      </c>
      <c r="S283">
        <f t="shared" si="27"/>
        <v>2913.9</v>
      </c>
      <c r="T283">
        <v>13</v>
      </c>
      <c r="U283" s="3">
        <f t="shared" si="28"/>
        <v>14472.599611918498</v>
      </c>
      <c r="V283" s="3">
        <f t="shared" si="29"/>
        <v>403.50851654083561</v>
      </c>
    </row>
    <row r="284" spans="1:22" x14ac:dyDescent="0.3">
      <c r="A284">
        <v>2024</v>
      </c>
      <c r="B284" t="s">
        <v>35</v>
      </c>
      <c r="C284">
        <v>566</v>
      </c>
      <c r="D284" t="s">
        <v>10</v>
      </c>
      <c r="E284" s="1">
        <v>4</v>
      </c>
      <c r="F284" s="2" t="s">
        <v>12</v>
      </c>
      <c r="G284" s="2" t="s">
        <v>14</v>
      </c>
      <c r="H284" s="2">
        <f t="shared" si="24"/>
        <v>100</v>
      </c>
      <c r="I284" s="2">
        <v>236</v>
      </c>
      <c r="J284" s="2">
        <f t="shared" si="25"/>
        <v>336</v>
      </c>
      <c r="K284" s="1" t="s">
        <v>15</v>
      </c>
      <c r="L284">
        <v>38</v>
      </c>
      <c r="M284">
        <v>18</v>
      </c>
      <c r="N284">
        <v>309.39999999999998</v>
      </c>
      <c r="O284">
        <v>18.2</v>
      </c>
      <c r="P284">
        <f t="shared" si="26"/>
        <v>684</v>
      </c>
      <c r="Q284">
        <v>2680.8</v>
      </c>
      <c r="R284">
        <v>233.1</v>
      </c>
      <c r="S284">
        <f t="shared" si="27"/>
        <v>2913.9</v>
      </c>
      <c r="T284">
        <v>13</v>
      </c>
      <c r="U284" s="3">
        <f t="shared" si="28"/>
        <v>14472.599611918498</v>
      </c>
      <c r="V284" s="3">
        <f t="shared" si="29"/>
        <v>403.50851654083561</v>
      </c>
    </row>
    <row r="285" spans="1:22" x14ac:dyDescent="0.3">
      <c r="A285">
        <v>2024</v>
      </c>
      <c r="B285" t="s">
        <v>35</v>
      </c>
      <c r="C285">
        <v>566</v>
      </c>
      <c r="D285" t="s">
        <v>10</v>
      </c>
      <c r="E285" s="1">
        <v>4</v>
      </c>
      <c r="F285" s="2" t="s">
        <v>12</v>
      </c>
      <c r="G285" s="2" t="s">
        <v>14</v>
      </c>
      <c r="H285" s="2">
        <f t="shared" si="24"/>
        <v>100</v>
      </c>
      <c r="I285" s="2">
        <v>236</v>
      </c>
      <c r="J285" s="2">
        <f t="shared" si="25"/>
        <v>336</v>
      </c>
      <c r="K285" s="1" t="s">
        <v>15</v>
      </c>
      <c r="L285">
        <v>37</v>
      </c>
      <c r="M285">
        <v>16</v>
      </c>
      <c r="N285">
        <v>309.39999999999998</v>
      </c>
      <c r="O285">
        <v>18.2</v>
      </c>
      <c r="P285">
        <f t="shared" si="26"/>
        <v>592</v>
      </c>
      <c r="Q285">
        <v>2680.8</v>
      </c>
      <c r="R285">
        <v>233.1</v>
      </c>
      <c r="S285">
        <f t="shared" si="27"/>
        <v>2913.9</v>
      </c>
      <c r="T285">
        <v>13</v>
      </c>
      <c r="U285" s="3">
        <f t="shared" si="28"/>
        <v>14472.599611918498</v>
      </c>
      <c r="V285" s="3">
        <f t="shared" si="29"/>
        <v>403.50851654083561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COSTA</dc:creator>
  <cp:lastModifiedBy>THIAGO COSTA</cp:lastModifiedBy>
  <dcterms:created xsi:type="dcterms:W3CDTF">2024-10-30T13:16:03Z</dcterms:created>
  <dcterms:modified xsi:type="dcterms:W3CDTF">2024-11-09T13:45:06Z</dcterms:modified>
</cp:coreProperties>
</file>