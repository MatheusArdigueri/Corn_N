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PROJECTS_Master\USDA-SCRP (corn)\2024\16.Analysis\Iron horse\biomass\"/>
    </mc:Choice>
  </mc:AlternateContent>
  <xr:revisionPtr revIDLastSave="0" documentId="11_3A2DD030879D51DA5BF4ECE006737A6435D5A4BD" xr6:coauthVersionLast="47" xr6:coauthVersionMax="47" xr10:uidLastSave="{00000000-0000-0000-0000-000000000000}"/>
  <bookViews>
    <workbookView xWindow="28680" yWindow="-886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1" l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50" i="1"/>
  <c r="J50" i="1" s="1"/>
  <c r="H73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50" i="1"/>
  <c r="J38" i="1" l="1"/>
  <c r="J39" i="1"/>
  <c r="J40" i="1"/>
  <c r="J41" i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I40" i="1"/>
  <c r="I39" i="1"/>
  <c r="I38" i="1"/>
  <c r="I37" i="1"/>
  <c r="I36" i="1"/>
  <c r="I35" i="1"/>
  <c r="I34" i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J37" i="1" s="1"/>
  <c r="H36" i="1"/>
  <c r="J36" i="1" s="1"/>
  <c r="H35" i="1"/>
  <c r="J35" i="1" s="1"/>
  <c r="H34" i="1"/>
  <c r="J34" i="1" s="1"/>
  <c r="H33" i="1"/>
  <c r="H32" i="1"/>
  <c r="H31" i="1"/>
  <c r="H30" i="1"/>
  <c r="H29" i="1"/>
  <c r="H28" i="1"/>
  <c r="H27" i="1"/>
  <c r="H26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" i="1"/>
</calcChain>
</file>

<file path=xl/sharedStrings.xml><?xml version="1.0" encoding="utf-8"?>
<sst xmlns="http://schemas.openxmlformats.org/spreadsheetml/2006/main" count="280" uniqueCount="24">
  <si>
    <t>field</t>
  </si>
  <si>
    <t>ID</t>
  </si>
  <si>
    <t>Date</t>
  </si>
  <si>
    <t>stage</t>
  </si>
  <si>
    <t>Biological</t>
  </si>
  <si>
    <t>Ntreat</t>
  </si>
  <si>
    <t>Fresh Biomass (kg)</t>
  </si>
  <si>
    <t>water (%)</t>
  </si>
  <si>
    <t>ironhorse</t>
  </si>
  <si>
    <t>V6</t>
  </si>
  <si>
    <t>Yes</t>
  </si>
  <si>
    <t>No</t>
  </si>
  <si>
    <t>VRN</t>
  </si>
  <si>
    <t>CFP</t>
  </si>
  <si>
    <t>VT/R1</t>
  </si>
  <si>
    <t>Fresh Leaves (kg)</t>
  </si>
  <si>
    <t>Dry Leaves (kg)</t>
  </si>
  <si>
    <t>Dry Stock (kg)</t>
  </si>
  <si>
    <t>Fresh Earn (Kg)</t>
  </si>
  <si>
    <t>Dry Earn (Kg)</t>
  </si>
  <si>
    <t>Fresh Stock (kg)</t>
  </si>
  <si>
    <t>R6</t>
  </si>
  <si>
    <t>Dry Biomass (kg)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</si>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</sst>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workbookViewId="0">
      <pane ySplit="1" topLeftCell="A2" activePane="bottomLeft" state="frozen"/>
      <selection pane="bottomLeft" activeCell="D2" sqref="D2:D25"/>
    </sheetView>
  </sheetViews>
  <sheetFormatPr defaultRowHeight="14.4" x14ac:dyDescent="0.3"/>
  <cols>
    <col min="1" max="1" width="9.5546875" bestFit="1" customWidth="1"/>
    <col min="3" max="3" width="10.5546875" bestFit="1" customWidth="1"/>
    <col min="4" max="4" width="10.5546875" customWidth="1"/>
    <col min="8" max="8" width="17.6640625" bestFit="1" customWidth="1"/>
    <col min="9" max="9" width="15.5546875" bestFit="1" customWidth="1"/>
    <col min="10" max="10" width="9.5546875" bestFit="1" customWidth="1"/>
    <col min="11" max="11" width="14.77734375" bestFit="1" customWidth="1"/>
    <col min="12" max="12" width="13.6640625" bestFit="1" customWidth="1"/>
    <col min="13" max="13" width="12.88671875" bestFit="1" customWidth="1"/>
    <col min="14" max="14" width="13.21875" bestFit="1" customWidth="1"/>
    <col min="15" max="15" width="12" bestFit="1" customWidth="1"/>
    <col min="16" max="16" width="11.33203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23</v>
      </c>
      <c r="E1" t="s">
        <v>3</v>
      </c>
      <c r="F1" t="s">
        <v>4</v>
      </c>
      <c r="G1" s="1" t="s">
        <v>5</v>
      </c>
      <c r="H1" t="s">
        <v>6</v>
      </c>
      <c r="I1" t="s">
        <v>22</v>
      </c>
      <c r="J1" t="s">
        <v>7</v>
      </c>
      <c r="K1" t="s">
        <v>15</v>
      </c>
      <c r="L1" t="s">
        <v>20</v>
      </c>
      <c r="M1" t="s">
        <v>18</v>
      </c>
      <c r="N1" t="s">
        <v>16</v>
      </c>
      <c r="O1" t="s">
        <v>17</v>
      </c>
      <c r="P1" t="s">
        <v>19</v>
      </c>
    </row>
    <row r="2" spans="1:19" x14ac:dyDescent="0.3">
      <c r="A2" t="s">
        <v>8</v>
      </c>
      <c r="B2">
        <v>507</v>
      </c>
      <c r="C2" s="2">
        <v>45460</v>
      </c>
      <c r="D2">
        <v>1</v>
      </c>
      <c r="E2" t="s">
        <v>9</v>
      </c>
      <c r="F2" s="1" t="s">
        <v>10</v>
      </c>
      <c r="G2" s="1" t="s">
        <v>12</v>
      </c>
      <c r="H2">
        <v>0.86</v>
      </c>
      <c r="I2">
        <v>0.24</v>
      </c>
      <c r="J2" s="3">
        <f>100 - ((I2*100)/H2)</f>
        <v>72.093023255813961</v>
      </c>
      <c r="S2" s="2"/>
    </row>
    <row r="3" spans="1:19" x14ac:dyDescent="0.3">
      <c r="A3" t="s">
        <v>8</v>
      </c>
      <c r="B3">
        <v>508</v>
      </c>
      <c r="C3" s="2">
        <v>45460</v>
      </c>
      <c r="D3">
        <v>1</v>
      </c>
      <c r="E3" t="s">
        <v>9</v>
      </c>
      <c r="F3" s="1" t="s">
        <v>10</v>
      </c>
      <c r="G3" s="1">
        <v>0</v>
      </c>
      <c r="H3">
        <v>1.01</v>
      </c>
      <c r="I3">
        <v>0.28000000000000003</v>
      </c>
      <c r="J3" s="3">
        <f t="shared" ref="J3:J66" si="0">100 - ((I3*100)/H3)</f>
        <v>72.277227722772267</v>
      </c>
    </row>
    <row r="4" spans="1:19" x14ac:dyDescent="0.3">
      <c r="A4" t="s">
        <v>8</v>
      </c>
      <c r="B4">
        <v>509</v>
      </c>
      <c r="C4" s="2">
        <v>45460</v>
      </c>
      <c r="D4">
        <v>1</v>
      </c>
      <c r="E4" t="s">
        <v>9</v>
      </c>
      <c r="F4" s="1" t="s">
        <v>10</v>
      </c>
      <c r="G4" s="1" t="s">
        <v>13</v>
      </c>
      <c r="H4">
        <v>0.9</v>
      </c>
      <c r="I4">
        <v>0.31</v>
      </c>
      <c r="J4" s="3">
        <f t="shared" si="0"/>
        <v>65.555555555555557</v>
      </c>
    </row>
    <row r="5" spans="1:19" x14ac:dyDescent="0.3">
      <c r="A5" t="s">
        <v>8</v>
      </c>
      <c r="B5">
        <v>510</v>
      </c>
      <c r="C5" s="2">
        <v>45460</v>
      </c>
      <c r="D5">
        <v>1</v>
      </c>
      <c r="E5" t="s">
        <v>9</v>
      </c>
      <c r="F5" s="1" t="s">
        <v>11</v>
      </c>
      <c r="G5" s="1">
        <v>0</v>
      </c>
      <c r="H5">
        <v>0.88</v>
      </c>
      <c r="I5">
        <v>0.28999999999999998</v>
      </c>
      <c r="J5" s="3">
        <f t="shared" si="0"/>
        <v>67.045454545454547</v>
      </c>
    </row>
    <row r="6" spans="1:19" x14ac:dyDescent="0.3">
      <c r="A6" t="s">
        <v>8</v>
      </c>
      <c r="B6">
        <v>511</v>
      </c>
      <c r="C6" s="2">
        <v>45460</v>
      </c>
      <c r="D6">
        <v>1</v>
      </c>
      <c r="E6" t="s">
        <v>9</v>
      </c>
      <c r="F6" s="1" t="s">
        <v>11</v>
      </c>
      <c r="G6" s="1" t="s">
        <v>12</v>
      </c>
      <c r="H6">
        <v>1.02</v>
      </c>
      <c r="I6">
        <v>0.26</v>
      </c>
      <c r="J6" s="3">
        <f t="shared" si="0"/>
        <v>74.509803921568633</v>
      </c>
    </row>
    <row r="7" spans="1:19" x14ac:dyDescent="0.3">
      <c r="A7" t="s">
        <v>8</v>
      </c>
      <c r="B7">
        <v>512</v>
      </c>
      <c r="C7" s="2">
        <v>45460</v>
      </c>
      <c r="D7">
        <v>1</v>
      </c>
      <c r="E7" t="s">
        <v>9</v>
      </c>
      <c r="F7" s="1" t="s">
        <v>11</v>
      </c>
      <c r="G7" s="1" t="s">
        <v>13</v>
      </c>
      <c r="H7">
        <v>1.31</v>
      </c>
      <c r="I7">
        <v>0.43</v>
      </c>
      <c r="J7" s="3">
        <f t="shared" si="0"/>
        <v>67.175572519083971</v>
      </c>
    </row>
    <row r="8" spans="1:19" x14ac:dyDescent="0.3">
      <c r="A8" t="s">
        <v>8</v>
      </c>
      <c r="B8">
        <v>525</v>
      </c>
      <c r="C8" s="2">
        <v>45460</v>
      </c>
      <c r="D8">
        <v>2</v>
      </c>
      <c r="E8" t="s">
        <v>9</v>
      </c>
      <c r="F8" s="1" t="s">
        <v>10</v>
      </c>
      <c r="G8" s="1" t="s">
        <v>13</v>
      </c>
      <c r="H8">
        <v>1.17</v>
      </c>
      <c r="I8">
        <v>0.38</v>
      </c>
      <c r="J8" s="3">
        <f t="shared" si="0"/>
        <v>67.521367521367523</v>
      </c>
    </row>
    <row r="9" spans="1:19" x14ac:dyDescent="0.3">
      <c r="A9" t="s">
        <v>8</v>
      </c>
      <c r="B9">
        <v>526</v>
      </c>
      <c r="C9" s="2">
        <v>45460</v>
      </c>
      <c r="D9">
        <v>2</v>
      </c>
      <c r="E9" t="s">
        <v>9</v>
      </c>
      <c r="F9" s="1" t="s">
        <v>10</v>
      </c>
      <c r="G9" s="1" t="s">
        <v>12</v>
      </c>
      <c r="H9">
        <v>1.1599999999999999</v>
      </c>
      <c r="I9">
        <v>0.32</v>
      </c>
      <c r="J9" s="3">
        <f t="shared" si="0"/>
        <v>72.41379310344827</v>
      </c>
    </row>
    <row r="10" spans="1:19" x14ac:dyDescent="0.3">
      <c r="A10" t="s">
        <v>8</v>
      </c>
      <c r="B10">
        <v>527</v>
      </c>
      <c r="C10" s="2">
        <v>45460</v>
      </c>
      <c r="D10">
        <v>2</v>
      </c>
      <c r="E10" t="s">
        <v>9</v>
      </c>
      <c r="F10" s="1" t="s">
        <v>10</v>
      </c>
      <c r="G10" s="1">
        <v>0</v>
      </c>
      <c r="H10">
        <v>0.6</v>
      </c>
      <c r="I10">
        <v>0.22</v>
      </c>
      <c r="J10" s="3">
        <f t="shared" si="0"/>
        <v>63.333333333333329</v>
      </c>
    </row>
    <row r="11" spans="1:19" x14ac:dyDescent="0.3">
      <c r="A11" t="s">
        <v>8</v>
      </c>
      <c r="B11">
        <v>528</v>
      </c>
      <c r="C11" s="2">
        <v>45460</v>
      </c>
      <c r="D11">
        <v>2</v>
      </c>
      <c r="E11" t="s">
        <v>9</v>
      </c>
      <c r="F11" s="1" t="s">
        <v>11</v>
      </c>
      <c r="G11" s="1" t="s">
        <v>12</v>
      </c>
      <c r="H11">
        <v>0.94</v>
      </c>
      <c r="I11">
        <v>0.28999999999999998</v>
      </c>
      <c r="J11" s="3">
        <f t="shared" si="0"/>
        <v>69.148936170212764</v>
      </c>
    </row>
    <row r="12" spans="1:19" x14ac:dyDescent="0.3">
      <c r="A12" t="s">
        <v>8</v>
      </c>
      <c r="B12">
        <v>529</v>
      </c>
      <c r="C12" s="2">
        <v>45460</v>
      </c>
      <c r="D12">
        <v>2</v>
      </c>
      <c r="E12" t="s">
        <v>9</v>
      </c>
      <c r="F12" s="1" t="s">
        <v>11</v>
      </c>
      <c r="G12" s="1" t="s">
        <v>13</v>
      </c>
      <c r="H12">
        <v>1.22</v>
      </c>
      <c r="I12">
        <v>0.32</v>
      </c>
      <c r="J12" s="3">
        <f t="shared" si="0"/>
        <v>73.770491803278688</v>
      </c>
    </row>
    <row r="13" spans="1:19" x14ac:dyDescent="0.3">
      <c r="A13" t="s">
        <v>8</v>
      </c>
      <c r="B13">
        <v>530</v>
      </c>
      <c r="C13" s="2">
        <v>45460</v>
      </c>
      <c r="D13">
        <v>2</v>
      </c>
      <c r="E13" t="s">
        <v>9</v>
      </c>
      <c r="F13" s="1" t="s">
        <v>11</v>
      </c>
      <c r="G13" s="1">
        <v>0</v>
      </c>
      <c r="H13">
        <v>1.35</v>
      </c>
      <c r="I13">
        <v>0.33</v>
      </c>
      <c r="J13" s="3">
        <f t="shared" si="0"/>
        <v>75.555555555555557</v>
      </c>
    </row>
    <row r="14" spans="1:19" x14ac:dyDescent="0.3">
      <c r="A14" t="s">
        <v>8</v>
      </c>
      <c r="B14">
        <v>543</v>
      </c>
      <c r="C14" s="2">
        <v>45460</v>
      </c>
      <c r="D14">
        <v>3</v>
      </c>
      <c r="E14" t="s">
        <v>9</v>
      </c>
      <c r="F14" s="1" t="s">
        <v>11</v>
      </c>
      <c r="G14" s="1" t="s">
        <v>13</v>
      </c>
      <c r="H14">
        <v>0.72</v>
      </c>
      <c r="I14">
        <v>0.49</v>
      </c>
      <c r="J14" s="3">
        <f t="shared" si="0"/>
        <v>31.944444444444443</v>
      </c>
    </row>
    <row r="15" spans="1:19" x14ac:dyDescent="0.3">
      <c r="A15" t="s">
        <v>8</v>
      </c>
      <c r="B15">
        <v>544</v>
      </c>
      <c r="C15" s="2">
        <v>45460</v>
      </c>
      <c r="D15">
        <v>3</v>
      </c>
      <c r="E15" t="s">
        <v>9</v>
      </c>
      <c r="F15" s="1" t="s">
        <v>11</v>
      </c>
      <c r="G15" s="1" t="s">
        <v>12</v>
      </c>
      <c r="H15">
        <v>1.25</v>
      </c>
      <c r="I15">
        <v>0.31</v>
      </c>
      <c r="J15" s="3">
        <f t="shared" si="0"/>
        <v>75.2</v>
      </c>
    </row>
    <row r="16" spans="1:19" x14ac:dyDescent="0.3">
      <c r="A16" t="s">
        <v>8</v>
      </c>
      <c r="B16">
        <v>545</v>
      </c>
      <c r="C16" s="2">
        <v>45460</v>
      </c>
      <c r="D16">
        <v>3</v>
      </c>
      <c r="E16" t="s">
        <v>9</v>
      </c>
      <c r="F16" s="1" t="s">
        <v>11</v>
      </c>
      <c r="G16" s="1">
        <v>0</v>
      </c>
      <c r="H16">
        <v>0.53</v>
      </c>
      <c r="I16">
        <v>0.21</v>
      </c>
      <c r="J16" s="3">
        <f t="shared" si="0"/>
        <v>60.377358490566039</v>
      </c>
    </row>
    <row r="17" spans="1:10" x14ac:dyDescent="0.3">
      <c r="A17" t="s">
        <v>8</v>
      </c>
      <c r="B17">
        <v>546</v>
      </c>
      <c r="C17" s="2">
        <v>45460</v>
      </c>
      <c r="D17">
        <v>3</v>
      </c>
      <c r="E17" t="s">
        <v>9</v>
      </c>
      <c r="F17" s="1" t="s">
        <v>10</v>
      </c>
      <c r="G17" s="1" t="s">
        <v>13</v>
      </c>
      <c r="H17">
        <v>0.72</v>
      </c>
      <c r="I17">
        <v>0.24</v>
      </c>
      <c r="J17" s="3">
        <f t="shared" si="0"/>
        <v>66.666666666666657</v>
      </c>
    </row>
    <row r="18" spans="1:10" x14ac:dyDescent="0.3">
      <c r="A18" t="s">
        <v>8</v>
      </c>
      <c r="B18">
        <v>547</v>
      </c>
      <c r="C18" s="2">
        <v>45460</v>
      </c>
      <c r="D18">
        <v>3</v>
      </c>
      <c r="E18" t="s">
        <v>9</v>
      </c>
      <c r="F18" s="1" t="s">
        <v>10</v>
      </c>
      <c r="G18" s="1">
        <v>0</v>
      </c>
      <c r="H18">
        <v>1.26</v>
      </c>
      <c r="I18">
        <v>0.37</v>
      </c>
      <c r="J18" s="3">
        <f t="shared" si="0"/>
        <v>70.634920634920633</v>
      </c>
    </row>
    <row r="19" spans="1:10" x14ac:dyDescent="0.3">
      <c r="A19" t="s">
        <v>8</v>
      </c>
      <c r="B19">
        <v>548</v>
      </c>
      <c r="C19" s="2">
        <v>45460</v>
      </c>
      <c r="D19">
        <v>3</v>
      </c>
      <c r="E19" t="s">
        <v>9</v>
      </c>
      <c r="F19" s="1" t="s">
        <v>10</v>
      </c>
      <c r="G19" s="1" t="s">
        <v>12</v>
      </c>
      <c r="H19">
        <v>1.65</v>
      </c>
      <c r="I19">
        <v>0.54</v>
      </c>
      <c r="J19" s="3">
        <f t="shared" si="0"/>
        <v>67.27272727272728</v>
      </c>
    </row>
    <row r="20" spans="1:10" x14ac:dyDescent="0.3">
      <c r="A20" t="s">
        <v>8</v>
      </c>
      <c r="B20">
        <v>561</v>
      </c>
      <c r="C20" s="2">
        <v>45460</v>
      </c>
      <c r="D20">
        <v>4</v>
      </c>
      <c r="E20" t="s">
        <v>9</v>
      </c>
      <c r="F20" s="1" t="s">
        <v>10</v>
      </c>
      <c r="G20" s="1" t="s">
        <v>12</v>
      </c>
      <c r="H20">
        <v>1.33</v>
      </c>
      <c r="I20">
        <v>0.43</v>
      </c>
      <c r="J20" s="3">
        <f t="shared" si="0"/>
        <v>67.669172932330838</v>
      </c>
    </row>
    <row r="21" spans="1:10" x14ac:dyDescent="0.3">
      <c r="A21" t="s">
        <v>8</v>
      </c>
      <c r="B21">
        <v>562</v>
      </c>
      <c r="C21" s="2">
        <v>45460</v>
      </c>
      <c r="D21">
        <v>4</v>
      </c>
      <c r="E21" t="s">
        <v>9</v>
      </c>
      <c r="F21" s="1" t="s">
        <v>10</v>
      </c>
      <c r="G21" s="1" t="s">
        <v>13</v>
      </c>
      <c r="H21">
        <v>1.18</v>
      </c>
      <c r="I21">
        <v>0.35</v>
      </c>
      <c r="J21" s="3">
        <f t="shared" si="0"/>
        <v>70.33898305084746</v>
      </c>
    </row>
    <row r="22" spans="1:10" x14ac:dyDescent="0.3">
      <c r="A22" t="s">
        <v>8</v>
      </c>
      <c r="B22">
        <v>563</v>
      </c>
      <c r="C22" s="2">
        <v>45460</v>
      </c>
      <c r="D22">
        <v>4</v>
      </c>
      <c r="E22" t="s">
        <v>9</v>
      </c>
      <c r="F22" s="1" t="s">
        <v>10</v>
      </c>
      <c r="G22" s="1">
        <v>0</v>
      </c>
      <c r="H22">
        <v>0.88</v>
      </c>
      <c r="I22">
        <v>0.28999999999999998</v>
      </c>
      <c r="J22" s="3">
        <f t="shared" si="0"/>
        <v>67.045454545454547</v>
      </c>
    </row>
    <row r="23" spans="1:10" x14ac:dyDescent="0.3">
      <c r="A23" t="s">
        <v>8</v>
      </c>
      <c r="B23">
        <v>564</v>
      </c>
      <c r="C23" s="2">
        <v>45460</v>
      </c>
      <c r="D23">
        <v>4</v>
      </c>
      <c r="E23" t="s">
        <v>9</v>
      </c>
      <c r="F23" s="1" t="s">
        <v>11</v>
      </c>
      <c r="G23" s="1">
        <v>0</v>
      </c>
      <c r="H23">
        <v>1.07</v>
      </c>
      <c r="I23">
        <v>0.33</v>
      </c>
      <c r="J23" s="3">
        <f t="shared" si="0"/>
        <v>69.158878504672899</v>
      </c>
    </row>
    <row r="24" spans="1:10" x14ac:dyDescent="0.3">
      <c r="A24" t="s">
        <v>8</v>
      </c>
      <c r="B24">
        <v>565</v>
      </c>
      <c r="C24" s="2">
        <v>45460</v>
      </c>
      <c r="D24">
        <v>4</v>
      </c>
      <c r="E24" t="s">
        <v>9</v>
      </c>
      <c r="F24" s="1" t="s">
        <v>11</v>
      </c>
      <c r="G24" s="1" t="s">
        <v>12</v>
      </c>
      <c r="H24">
        <v>1.51</v>
      </c>
      <c r="I24">
        <v>0.48</v>
      </c>
      <c r="J24" s="3">
        <f t="shared" si="0"/>
        <v>68.211920529801318</v>
      </c>
    </row>
    <row r="25" spans="1:10" x14ac:dyDescent="0.3">
      <c r="A25" t="s">
        <v>8</v>
      </c>
      <c r="B25">
        <v>566</v>
      </c>
      <c r="C25" s="2">
        <v>45460</v>
      </c>
      <c r="D25">
        <v>4</v>
      </c>
      <c r="E25" t="s">
        <v>9</v>
      </c>
      <c r="F25" s="1" t="s">
        <v>11</v>
      </c>
      <c r="G25" s="1" t="s">
        <v>13</v>
      </c>
      <c r="H25">
        <v>1.62</v>
      </c>
      <c r="I25">
        <v>0.41</v>
      </c>
      <c r="J25" s="3">
        <f t="shared" si="0"/>
        <v>74.691358024691368</v>
      </c>
    </row>
    <row r="26" spans="1:10" x14ac:dyDescent="0.3">
      <c r="A26" t="s">
        <v>8</v>
      </c>
      <c r="B26">
        <v>507</v>
      </c>
      <c r="C26" s="2">
        <v>45460</v>
      </c>
      <c r="D26">
        <v>1</v>
      </c>
      <c r="E26" t="s">
        <v>14</v>
      </c>
      <c r="F26" s="1" t="s">
        <v>10</v>
      </c>
      <c r="G26" s="1" t="s">
        <v>12</v>
      </c>
      <c r="H26">
        <f>1.43 + 1.29 + 1.33</f>
        <v>4.05</v>
      </c>
      <c r="I26">
        <f>0.25+0.41+0.58</f>
        <v>1.2399999999999998</v>
      </c>
      <c r="J26" s="3">
        <f t="shared" si="0"/>
        <v>69.382716049382722</v>
      </c>
    </row>
    <row r="27" spans="1:10" x14ac:dyDescent="0.3">
      <c r="A27" t="s">
        <v>8</v>
      </c>
      <c r="B27">
        <v>508</v>
      </c>
      <c r="C27" s="2">
        <v>45460</v>
      </c>
      <c r="D27">
        <v>1</v>
      </c>
      <c r="E27" t="s">
        <v>14</v>
      </c>
      <c r="F27" s="1" t="s">
        <v>10</v>
      </c>
      <c r="G27" s="1">
        <v>0</v>
      </c>
      <c r="H27">
        <f xml:space="preserve"> 1.65+1.55</f>
        <v>3.2</v>
      </c>
      <c r="I27">
        <f>0.48+0.41</f>
        <v>0.8899999999999999</v>
      </c>
      <c r="J27" s="3">
        <f t="shared" si="0"/>
        <v>72.1875</v>
      </c>
    </row>
    <row r="28" spans="1:10" x14ac:dyDescent="0.3">
      <c r="A28" t="s">
        <v>8</v>
      </c>
      <c r="B28">
        <v>509</v>
      </c>
      <c r="C28" s="2">
        <v>45460</v>
      </c>
      <c r="D28">
        <v>1</v>
      </c>
      <c r="E28" t="s">
        <v>14</v>
      </c>
      <c r="F28" s="1" t="s">
        <v>10</v>
      </c>
      <c r="G28" s="1" t="s">
        <v>13</v>
      </c>
      <c r="H28">
        <f>1.2+0.7+1.14</f>
        <v>3.04</v>
      </c>
      <c r="I28">
        <f>0.16+0.28+0.33</f>
        <v>0.77</v>
      </c>
      <c r="J28" s="3">
        <f t="shared" si="0"/>
        <v>74.671052631578945</v>
      </c>
    </row>
    <row r="29" spans="1:10" x14ac:dyDescent="0.3">
      <c r="A29" t="s">
        <v>8</v>
      </c>
      <c r="B29">
        <v>510</v>
      </c>
      <c r="C29" s="2">
        <v>45460</v>
      </c>
      <c r="D29">
        <v>1</v>
      </c>
      <c r="E29" t="s">
        <v>14</v>
      </c>
      <c r="F29" s="1" t="s">
        <v>11</v>
      </c>
      <c r="G29" s="1">
        <v>0</v>
      </c>
      <c r="H29">
        <f>1.04+1.25+1.24</f>
        <v>3.5300000000000002</v>
      </c>
      <c r="I29">
        <f>0.21+0.3+0.3</f>
        <v>0.81</v>
      </c>
      <c r="J29" s="3">
        <f t="shared" si="0"/>
        <v>77.053824362606235</v>
      </c>
    </row>
    <row r="30" spans="1:10" x14ac:dyDescent="0.3">
      <c r="A30" t="s">
        <v>8</v>
      </c>
      <c r="B30">
        <v>511</v>
      </c>
      <c r="C30" s="2">
        <v>45460</v>
      </c>
      <c r="D30">
        <v>1</v>
      </c>
      <c r="E30" t="s">
        <v>14</v>
      </c>
      <c r="F30" s="1" t="s">
        <v>11</v>
      </c>
      <c r="G30" s="1" t="s">
        <v>12</v>
      </c>
      <c r="H30">
        <f>2.31+1.69</f>
        <v>4</v>
      </c>
      <c r="I30">
        <f>0.63+0.38</f>
        <v>1.01</v>
      </c>
      <c r="J30" s="3">
        <f t="shared" si="0"/>
        <v>74.75</v>
      </c>
    </row>
    <row r="31" spans="1:10" x14ac:dyDescent="0.3">
      <c r="A31" t="s">
        <v>8</v>
      </c>
      <c r="B31">
        <v>512</v>
      </c>
      <c r="C31" s="2">
        <v>45460</v>
      </c>
      <c r="D31">
        <v>1</v>
      </c>
      <c r="E31" t="s">
        <v>14</v>
      </c>
      <c r="F31" s="1" t="s">
        <v>11</v>
      </c>
      <c r="G31" s="1" t="s">
        <v>13</v>
      </c>
      <c r="H31">
        <f>1.81+1.13+1.44</f>
        <v>4.38</v>
      </c>
      <c r="I31">
        <f>0.73+0.57+0.34</f>
        <v>1.64</v>
      </c>
      <c r="J31" s="3">
        <f t="shared" si="0"/>
        <v>62.557077625570777</v>
      </c>
    </row>
    <row r="32" spans="1:10" x14ac:dyDescent="0.3">
      <c r="A32" t="s">
        <v>8</v>
      </c>
      <c r="B32">
        <v>525</v>
      </c>
      <c r="C32" s="2">
        <v>45460</v>
      </c>
      <c r="D32">
        <v>2</v>
      </c>
      <c r="E32" t="s">
        <v>14</v>
      </c>
      <c r="F32" s="1" t="s">
        <v>10</v>
      </c>
      <c r="G32" s="1" t="s">
        <v>13</v>
      </c>
      <c r="H32">
        <f>1.12+1.47+1.47</f>
        <v>4.0599999999999996</v>
      </c>
      <c r="I32">
        <f>0.62+0.37+0.19</f>
        <v>1.18</v>
      </c>
      <c r="J32" s="3">
        <f t="shared" si="0"/>
        <v>70.935960591133011</v>
      </c>
    </row>
    <row r="33" spans="1:10" x14ac:dyDescent="0.3">
      <c r="A33" t="s">
        <v>8</v>
      </c>
      <c r="B33">
        <v>526</v>
      </c>
      <c r="C33" s="2">
        <v>45460</v>
      </c>
      <c r="D33">
        <v>2</v>
      </c>
      <c r="E33" t="s">
        <v>14</v>
      </c>
      <c r="F33" s="1" t="s">
        <v>10</v>
      </c>
      <c r="G33" s="1" t="s">
        <v>12</v>
      </c>
      <c r="H33">
        <f>1.5+2.2</f>
        <v>3.7</v>
      </c>
      <c r="I33">
        <f>0.4+0.7</f>
        <v>1.1000000000000001</v>
      </c>
      <c r="J33" s="3">
        <f t="shared" si="0"/>
        <v>70.27027027027026</v>
      </c>
    </row>
    <row r="34" spans="1:10" x14ac:dyDescent="0.3">
      <c r="A34" t="s">
        <v>8</v>
      </c>
      <c r="B34">
        <v>527</v>
      </c>
      <c r="C34" s="2">
        <v>45460</v>
      </c>
      <c r="D34">
        <v>2</v>
      </c>
      <c r="E34" t="s">
        <v>14</v>
      </c>
      <c r="F34" s="1" t="s">
        <v>10</v>
      </c>
      <c r="G34" s="1">
        <v>0</v>
      </c>
      <c r="H34">
        <f>0.88+0.97+1.04</f>
        <v>2.89</v>
      </c>
      <c r="I34">
        <f>0.26+0.19+0.19</f>
        <v>0.64</v>
      </c>
      <c r="J34" s="3">
        <f t="shared" si="0"/>
        <v>77.854671280276818</v>
      </c>
    </row>
    <row r="35" spans="1:10" x14ac:dyDescent="0.3">
      <c r="A35" t="s">
        <v>8</v>
      </c>
      <c r="B35">
        <v>528</v>
      </c>
      <c r="C35" s="2">
        <v>45460</v>
      </c>
      <c r="D35">
        <v>2</v>
      </c>
      <c r="E35" t="s">
        <v>14</v>
      </c>
      <c r="F35" s="1" t="s">
        <v>11</v>
      </c>
      <c r="G35" s="1" t="s">
        <v>12</v>
      </c>
      <c r="H35">
        <f>1.28+1.26+1.22</f>
        <v>3.76</v>
      </c>
      <c r="I35">
        <f>0.39+0.3+0.25</f>
        <v>0.94</v>
      </c>
      <c r="J35" s="3">
        <f t="shared" si="0"/>
        <v>75</v>
      </c>
    </row>
    <row r="36" spans="1:10" x14ac:dyDescent="0.3">
      <c r="A36" t="s">
        <v>8</v>
      </c>
      <c r="B36">
        <v>529</v>
      </c>
      <c r="C36" s="2">
        <v>45460</v>
      </c>
      <c r="D36">
        <v>2</v>
      </c>
      <c r="E36" t="s">
        <v>14</v>
      </c>
      <c r="F36" s="1" t="s">
        <v>11</v>
      </c>
      <c r="G36" s="1" t="s">
        <v>13</v>
      </c>
      <c r="H36">
        <f>1.63+0.71+2.02</f>
        <v>4.3599999999999994</v>
      </c>
      <c r="I36">
        <f>0.4+0.37+0.16</f>
        <v>0.93</v>
      </c>
      <c r="J36" s="3">
        <f t="shared" si="0"/>
        <v>78.669724770642205</v>
      </c>
    </row>
    <row r="37" spans="1:10" x14ac:dyDescent="0.3">
      <c r="A37" t="s">
        <v>8</v>
      </c>
      <c r="B37">
        <v>530</v>
      </c>
      <c r="C37" s="2">
        <v>45460</v>
      </c>
      <c r="D37">
        <v>2</v>
      </c>
      <c r="E37" t="s">
        <v>14</v>
      </c>
      <c r="F37" s="1" t="s">
        <v>11</v>
      </c>
      <c r="G37" s="1">
        <v>0</v>
      </c>
      <c r="H37">
        <f>1.24+1.21+0.77</f>
        <v>3.22</v>
      </c>
      <c r="I37">
        <f>0.27+0.18+0.27</f>
        <v>0.72</v>
      </c>
      <c r="J37" s="3">
        <f t="shared" si="0"/>
        <v>77.639751552795033</v>
      </c>
    </row>
    <row r="38" spans="1:10" x14ac:dyDescent="0.3">
      <c r="A38" t="s">
        <v>8</v>
      </c>
      <c r="B38">
        <v>543</v>
      </c>
      <c r="C38" s="2">
        <v>45460</v>
      </c>
      <c r="D38">
        <v>3</v>
      </c>
      <c r="E38" t="s">
        <v>14</v>
      </c>
      <c r="F38" s="1" t="s">
        <v>11</v>
      </c>
      <c r="G38" s="1" t="s">
        <v>13</v>
      </c>
      <c r="H38">
        <f>1.99+1.79+1.76</f>
        <v>5.54</v>
      </c>
      <c r="I38">
        <f>0.5+0.37+0.65</f>
        <v>1.52</v>
      </c>
      <c r="J38" s="3">
        <f t="shared" si="0"/>
        <v>72.563176895306867</v>
      </c>
    </row>
    <row r="39" spans="1:10" x14ac:dyDescent="0.3">
      <c r="A39" t="s">
        <v>8</v>
      </c>
      <c r="B39">
        <v>544</v>
      </c>
      <c r="C39" s="2">
        <v>45460</v>
      </c>
      <c r="D39">
        <v>3</v>
      </c>
      <c r="E39" t="s">
        <v>14</v>
      </c>
      <c r="F39" s="1" t="s">
        <v>11</v>
      </c>
      <c r="G39" s="1" t="s">
        <v>12</v>
      </c>
      <c r="H39">
        <f>1.93+2.09</f>
        <v>4.0199999999999996</v>
      </c>
      <c r="I39">
        <f>0.55+0.65</f>
        <v>1.2000000000000002</v>
      </c>
      <c r="J39" s="3">
        <f t="shared" si="0"/>
        <v>70.149253731343279</v>
      </c>
    </row>
    <row r="40" spans="1:10" x14ac:dyDescent="0.3">
      <c r="A40" t="s">
        <v>8</v>
      </c>
      <c r="B40">
        <v>545</v>
      </c>
      <c r="C40" s="2">
        <v>45460</v>
      </c>
      <c r="D40">
        <v>3</v>
      </c>
      <c r="E40" t="s">
        <v>14</v>
      </c>
      <c r="F40" s="1" t="s">
        <v>11</v>
      </c>
      <c r="G40" s="1">
        <v>0</v>
      </c>
      <c r="H40">
        <f>0.94+1.25+0.9</f>
        <v>3.09</v>
      </c>
      <c r="I40">
        <f>0.16+0.2+0.38</f>
        <v>0.74</v>
      </c>
      <c r="J40" s="3">
        <f t="shared" si="0"/>
        <v>76.051779935275079</v>
      </c>
    </row>
    <row r="41" spans="1:10" x14ac:dyDescent="0.3">
      <c r="A41" t="s">
        <v>8</v>
      </c>
      <c r="B41">
        <v>546</v>
      </c>
      <c r="C41" s="2">
        <v>45460</v>
      </c>
      <c r="D41">
        <v>3</v>
      </c>
      <c r="E41" t="s">
        <v>14</v>
      </c>
      <c r="F41" s="1" t="s">
        <v>10</v>
      </c>
      <c r="G41" s="1" t="s">
        <v>13</v>
      </c>
      <c r="H41">
        <f>1.23+1.38+1.26</f>
        <v>3.87</v>
      </c>
      <c r="I41">
        <f>0.25+0.38+0.46</f>
        <v>1.0900000000000001</v>
      </c>
      <c r="J41" s="3">
        <f t="shared" si="0"/>
        <v>71.834625322997411</v>
      </c>
    </row>
    <row r="42" spans="1:10" x14ac:dyDescent="0.3">
      <c r="A42" t="s">
        <v>8</v>
      </c>
      <c r="B42">
        <v>547</v>
      </c>
      <c r="C42" s="2">
        <v>45460</v>
      </c>
      <c r="D42">
        <v>3</v>
      </c>
      <c r="E42" t="s">
        <v>14</v>
      </c>
      <c r="F42" s="1" t="s">
        <v>10</v>
      </c>
      <c r="G42" s="1">
        <v>0</v>
      </c>
      <c r="H42">
        <f>2.07+1.96+0.68</f>
        <v>4.7099999999999991</v>
      </c>
      <c r="I42">
        <f>0.59+0.79+0.19</f>
        <v>1.5699999999999998</v>
      </c>
      <c r="J42" s="3">
        <f t="shared" si="0"/>
        <v>66.666666666666657</v>
      </c>
    </row>
    <row r="43" spans="1:10" x14ac:dyDescent="0.3">
      <c r="A43" t="s">
        <v>8</v>
      </c>
      <c r="B43">
        <v>548</v>
      </c>
      <c r="C43" s="2">
        <v>45460</v>
      </c>
      <c r="D43">
        <v>3</v>
      </c>
      <c r="E43" t="s">
        <v>14</v>
      </c>
      <c r="F43" s="1" t="s">
        <v>10</v>
      </c>
      <c r="G43" s="1" t="s">
        <v>12</v>
      </c>
      <c r="H43">
        <f>1.78+1.66+1.26</f>
        <v>4.7</v>
      </c>
      <c r="I43">
        <f>0.64+0.55+0.38</f>
        <v>1.5699999999999998</v>
      </c>
      <c r="J43" s="3">
        <f t="shared" si="0"/>
        <v>66.59574468085107</v>
      </c>
    </row>
    <row r="44" spans="1:10" x14ac:dyDescent="0.3">
      <c r="A44" t="s">
        <v>8</v>
      </c>
      <c r="B44">
        <v>561</v>
      </c>
      <c r="C44" s="2">
        <v>45460</v>
      </c>
      <c r="D44">
        <v>4</v>
      </c>
      <c r="E44" t="s">
        <v>14</v>
      </c>
      <c r="F44" s="1" t="s">
        <v>10</v>
      </c>
      <c r="G44" s="1" t="s">
        <v>12</v>
      </c>
      <c r="H44">
        <f>1.5+1.12+1.44</f>
        <v>4.0600000000000005</v>
      </c>
      <c r="I44">
        <f>0.36+0.55+0.36</f>
        <v>1.27</v>
      </c>
      <c r="J44" s="3">
        <f t="shared" si="0"/>
        <v>68.7192118226601</v>
      </c>
    </row>
    <row r="45" spans="1:10" x14ac:dyDescent="0.3">
      <c r="A45" t="s">
        <v>8</v>
      </c>
      <c r="B45">
        <v>562</v>
      </c>
      <c r="C45" s="2">
        <v>45460</v>
      </c>
      <c r="D45">
        <v>4</v>
      </c>
      <c r="E45" t="s">
        <v>14</v>
      </c>
      <c r="F45" s="1" t="s">
        <v>10</v>
      </c>
      <c r="G45" s="1" t="s">
        <v>13</v>
      </c>
      <c r="H45">
        <f>1.65+2.28</f>
        <v>3.9299999999999997</v>
      </c>
      <c r="I45">
        <f>0.74+0.65</f>
        <v>1.3900000000000001</v>
      </c>
      <c r="J45" s="3">
        <f t="shared" si="0"/>
        <v>64.631043256997458</v>
      </c>
    </row>
    <row r="46" spans="1:10" x14ac:dyDescent="0.3">
      <c r="A46" t="s">
        <v>8</v>
      </c>
      <c r="B46">
        <v>563</v>
      </c>
      <c r="C46" s="2">
        <v>45460</v>
      </c>
      <c r="D46">
        <v>4</v>
      </c>
      <c r="E46" t="s">
        <v>14</v>
      </c>
      <c r="F46" s="1" t="s">
        <v>10</v>
      </c>
      <c r="G46" s="1">
        <v>0</v>
      </c>
      <c r="H46">
        <f>0.97+1.22+1.11</f>
        <v>3.3</v>
      </c>
      <c r="I46">
        <f>0.34+0.24+0.2</f>
        <v>0.78</v>
      </c>
      <c r="J46" s="3">
        <f t="shared" si="0"/>
        <v>76.36363636363636</v>
      </c>
    </row>
    <row r="47" spans="1:10" x14ac:dyDescent="0.3">
      <c r="A47" t="s">
        <v>8</v>
      </c>
      <c r="B47">
        <v>564</v>
      </c>
      <c r="C47" s="2">
        <v>45460</v>
      </c>
      <c r="D47">
        <v>4</v>
      </c>
      <c r="E47" t="s">
        <v>14</v>
      </c>
      <c r="F47" s="1" t="s">
        <v>11</v>
      </c>
      <c r="G47" s="1">
        <v>0</v>
      </c>
      <c r="H47">
        <f>1.22+1.14+1.33</f>
        <v>3.69</v>
      </c>
      <c r="I47">
        <f>0.29+0.35+0.29</f>
        <v>0.92999999999999994</v>
      </c>
      <c r="J47" s="3">
        <f t="shared" si="0"/>
        <v>74.796747967479675</v>
      </c>
    </row>
    <row r="48" spans="1:10" x14ac:dyDescent="0.3">
      <c r="A48" t="s">
        <v>8</v>
      </c>
      <c r="B48">
        <v>565</v>
      </c>
      <c r="C48" s="2">
        <v>45460</v>
      </c>
      <c r="D48">
        <v>4</v>
      </c>
      <c r="E48" t="s">
        <v>14</v>
      </c>
      <c r="F48" s="1" t="s">
        <v>11</v>
      </c>
      <c r="G48" s="1" t="s">
        <v>12</v>
      </c>
      <c r="H48">
        <f>2.06+2.32</f>
        <v>4.38</v>
      </c>
      <c r="I48">
        <f>0.85+0.71</f>
        <v>1.56</v>
      </c>
      <c r="J48" s="3">
        <f t="shared" si="0"/>
        <v>64.383561643835606</v>
      </c>
    </row>
    <row r="49" spans="1:16" x14ac:dyDescent="0.3">
      <c r="A49" t="s">
        <v>8</v>
      </c>
      <c r="B49">
        <v>566</v>
      </c>
      <c r="C49" s="2">
        <v>45460</v>
      </c>
      <c r="D49">
        <v>4</v>
      </c>
      <c r="E49" t="s">
        <v>14</v>
      </c>
      <c r="F49" s="1" t="s">
        <v>11</v>
      </c>
      <c r="G49" s="1" t="s">
        <v>13</v>
      </c>
      <c r="H49">
        <f>1.76+1.26+1.62</f>
        <v>4.6400000000000006</v>
      </c>
      <c r="I49">
        <f>0.36+0.45+0.43</f>
        <v>1.24</v>
      </c>
      <c r="J49" s="3">
        <f t="shared" si="0"/>
        <v>73.275862068965523</v>
      </c>
    </row>
    <row r="50" spans="1:16" x14ac:dyDescent="0.3">
      <c r="A50" t="s">
        <v>8</v>
      </c>
      <c r="B50">
        <v>507</v>
      </c>
      <c r="C50" s="2">
        <v>45460</v>
      </c>
      <c r="D50">
        <v>1</v>
      </c>
      <c r="E50" t="s">
        <v>21</v>
      </c>
      <c r="F50" s="1" t="s">
        <v>10</v>
      </c>
      <c r="G50" s="1" t="s">
        <v>12</v>
      </c>
      <c r="H50">
        <f>(K50+L50+M50)</f>
        <v>3.51</v>
      </c>
      <c r="I50">
        <f>(N50+O50+P50)</f>
        <v>1.86358</v>
      </c>
      <c r="J50" s="3">
        <f t="shared" si="0"/>
        <v>46.906552706552702</v>
      </c>
      <c r="K50">
        <v>0.42</v>
      </c>
      <c r="L50">
        <v>1.57</v>
      </c>
      <c r="M50">
        <v>1.52</v>
      </c>
      <c r="N50">
        <v>0.31256</v>
      </c>
      <c r="O50">
        <v>0.41452</v>
      </c>
      <c r="P50">
        <v>1.1365000000000001</v>
      </c>
    </row>
    <row r="51" spans="1:16" x14ac:dyDescent="0.3">
      <c r="A51" t="s">
        <v>8</v>
      </c>
      <c r="B51">
        <v>508</v>
      </c>
      <c r="C51" s="2">
        <v>45460</v>
      </c>
      <c r="D51">
        <v>1</v>
      </c>
      <c r="E51" t="s">
        <v>21</v>
      </c>
      <c r="F51" s="1" t="s">
        <v>10</v>
      </c>
      <c r="G51" s="1">
        <v>0</v>
      </c>
      <c r="H51">
        <f t="shared" ref="H51:H72" si="1">(K51+L51+M51)</f>
        <v>2.4299999999999997</v>
      </c>
      <c r="I51">
        <f t="shared" ref="I51:I73" si="2">(N51+O51+P51)</f>
        <v>1.62131</v>
      </c>
      <c r="J51" s="3">
        <f t="shared" si="0"/>
        <v>33.279423868312747</v>
      </c>
      <c r="K51">
        <v>0.39</v>
      </c>
      <c r="L51">
        <v>0.85</v>
      </c>
      <c r="M51">
        <v>1.19</v>
      </c>
      <c r="N51">
        <v>0.30940000000000001</v>
      </c>
      <c r="O51">
        <v>0.36808000000000002</v>
      </c>
      <c r="P51">
        <v>0.94382999999999995</v>
      </c>
    </row>
    <row r="52" spans="1:16" x14ac:dyDescent="0.3">
      <c r="A52" t="s">
        <v>8</v>
      </c>
      <c r="B52">
        <v>509</v>
      </c>
      <c r="C52" s="2">
        <v>45460</v>
      </c>
      <c r="D52">
        <v>1</v>
      </c>
      <c r="E52" t="s">
        <v>21</v>
      </c>
      <c r="F52" s="1" t="s">
        <v>10</v>
      </c>
      <c r="G52" s="1" t="s">
        <v>13</v>
      </c>
      <c r="H52">
        <f t="shared" si="1"/>
        <v>2.67</v>
      </c>
      <c r="I52">
        <f t="shared" si="2"/>
        <v>1.44617</v>
      </c>
      <c r="J52" s="3">
        <f t="shared" si="0"/>
        <v>45.836329588014983</v>
      </c>
      <c r="K52">
        <v>0.39</v>
      </c>
      <c r="L52">
        <v>1.22</v>
      </c>
      <c r="M52">
        <v>1.06</v>
      </c>
      <c r="N52">
        <v>0.26071</v>
      </c>
      <c r="O52">
        <v>0.38333</v>
      </c>
      <c r="P52">
        <v>0.80213000000000001</v>
      </c>
    </row>
    <row r="53" spans="1:16" x14ac:dyDescent="0.3">
      <c r="A53" t="s">
        <v>8</v>
      </c>
      <c r="B53">
        <v>510</v>
      </c>
      <c r="C53" s="2">
        <v>45460</v>
      </c>
      <c r="D53">
        <v>1</v>
      </c>
      <c r="E53" t="s">
        <v>21</v>
      </c>
      <c r="F53" s="1" t="s">
        <v>11</v>
      </c>
      <c r="G53" s="1">
        <v>0</v>
      </c>
      <c r="H53">
        <f t="shared" si="1"/>
        <v>2.13</v>
      </c>
      <c r="I53">
        <f t="shared" si="2"/>
        <v>1.2869099999999998</v>
      </c>
      <c r="J53" s="3">
        <f t="shared" si="0"/>
        <v>39.581690140845076</v>
      </c>
      <c r="K53">
        <v>0.35</v>
      </c>
      <c r="L53">
        <v>0.9</v>
      </c>
      <c r="M53">
        <v>0.88</v>
      </c>
      <c r="N53">
        <v>0.27831</v>
      </c>
      <c r="O53">
        <v>0.31474999999999997</v>
      </c>
      <c r="P53">
        <v>0.69384999999999997</v>
      </c>
    </row>
    <row r="54" spans="1:16" x14ac:dyDescent="0.3">
      <c r="A54" t="s">
        <v>8</v>
      </c>
      <c r="B54">
        <v>511</v>
      </c>
      <c r="C54" s="2">
        <v>45460</v>
      </c>
      <c r="D54">
        <v>1</v>
      </c>
      <c r="E54" t="s">
        <v>21</v>
      </c>
      <c r="F54" s="1" t="s">
        <v>11</v>
      </c>
      <c r="G54" s="1" t="s">
        <v>12</v>
      </c>
      <c r="H54">
        <f t="shared" si="1"/>
        <v>2.9800000000000004</v>
      </c>
      <c r="I54">
        <f t="shared" si="2"/>
        <v>1.64964</v>
      </c>
      <c r="J54" s="3">
        <f t="shared" si="0"/>
        <v>44.642953020134236</v>
      </c>
      <c r="K54">
        <v>0.38</v>
      </c>
      <c r="L54">
        <v>1.28</v>
      </c>
      <c r="M54">
        <v>1.32</v>
      </c>
      <c r="N54">
        <v>0.29594999999999999</v>
      </c>
      <c r="O54">
        <v>0.37010999999999999</v>
      </c>
      <c r="P54">
        <v>0.98358000000000001</v>
      </c>
    </row>
    <row r="55" spans="1:16" x14ac:dyDescent="0.3">
      <c r="A55" t="s">
        <v>8</v>
      </c>
      <c r="B55">
        <v>512</v>
      </c>
      <c r="C55" s="2">
        <v>45460</v>
      </c>
      <c r="D55">
        <v>1</v>
      </c>
      <c r="E55" t="s">
        <v>21</v>
      </c>
      <c r="F55" s="1" t="s">
        <v>11</v>
      </c>
      <c r="G55" s="1" t="s">
        <v>13</v>
      </c>
      <c r="H55">
        <f t="shared" si="1"/>
        <v>3.38</v>
      </c>
      <c r="I55">
        <f t="shared" si="2"/>
        <v>1.8298100000000002</v>
      </c>
      <c r="J55" s="3">
        <f t="shared" si="0"/>
        <v>45.863609467455611</v>
      </c>
      <c r="K55">
        <v>0.43</v>
      </c>
      <c r="L55">
        <v>1.55</v>
      </c>
      <c r="M55">
        <v>1.4</v>
      </c>
      <c r="N55">
        <v>0.33144000000000001</v>
      </c>
      <c r="O55">
        <v>0.43414000000000003</v>
      </c>
      <c r="P55">
        <v>1.06423</v>
      </c>
    </row>
    <row r="56" spans="1:16" x14ac:dyDescent="0.3">
      <c r="A56" t="s">
        <v>8</v>
      </c>
      <c r="B56">
        <v>525</v>
      </c>
      <c r="C56" s="2">
        <v>45460</v>
      </c>
      <c r="D56">
        <v>2</v>
      </c>
      <c r="E56" t="s">
        <v>21</v>
      </c>
      <c r="F56" s="1" t="s">
        <v>10</v>
      </c>
      <c r="G56" s="1" t="s">
        <v>13</v>
      </c>
      <c r="H56">
        <f t="shared" si="1"/>
        <v>2.1800000000000002</v>
      </c>
      <c r="I56">
        <f t="shared" si="2"/>
        <v>1.946</v>
      </c>
      <c r="J56" s="3">
        <f t="shared" si="0"/>
        <v>10.733944954128447</v>
      </c>
      <c r="K56">
        <v>0.46</v>
      </c>
      <c r="L56">
        <v>0.17</v>
      </c>
      <c r="M56">
        <v>1.55</v>
      </c>
      <c r="N56">
        <v>0.34010000000000001</v>
      </c>
      <c r="O56">
        <v>0.4501</v>
      </c>
      <c r="P56">
        <v>1.1557999999999999</v>
      </c>
    </row>
    <row r="57" spans="1:16" x14ac:dyDescent="0.3">
      <c r="A57" t="s">
        <v>8</v>
      </c>
      <c r="B57">
        <v>526</v>
      </c>
      <c r="C57" s="2">
        <v>45460</v>
      </c>
      <c r="D57">
        <v>2</v>
      </c>
      <c r="E57" t="s">
        <v>21</v>
      </c>
      <c r="F57" s="1" t="s">
        <v>10</v>
      </c>
      <c r="G57" s="1" t="s">
        <v>12</v>
      </c>
      <c r="H57">
        <f t="shared" si="1"/>
        <v>3.5200000000000005</v>
      </c>
      <c r="I57">
        <f t="shared" si="2"/>
        <v>1.95251</v>
      </c>
      <c r="J57" s="3">
        <f t="shared" si="0"/>
        <v>44.530965909090916</v>
      </c>
      <c r="K57">
        <v>0.43</v>
      </c>
      <c r="L57">
        <v>1.6</v>
      </c>
      <c r="M57">
        <v>1.49</v>
      </c>
      <c r="N57">
        <v>0.32923999999999998</v>
      </c>
      <c r="O57">
        <v>0.46372999999999998</v>
      </c>
      <c r="P57">
        <v>1.15954</v>
      </c>
    </row>
    <row r="58" spans="1:16" x14ac:dyDescent="0.3">
      <c r="A58" t="s">
        <v>8</v>
      </c>
      <c r="B58">
        <v>527</v>
      </c>
      <c r="C58" s="2">
        <v>45460</v>
      </c>
      <c r="D58">
        <v>2</v>
      </c>
      <c r="E58" t="s">
        <v>21</v>
      </c>
      <c r="F58" s="1" t="s">
        <v>10</v>
      </c>
      <c r="G58" s="1">
        <v>0</v>
      </c>
      <c r="H58">
        <f t="shared" si="1"/>
        <v>2.0499999999999998</v>
      </c>
      <c r="I58">
        <f t="shared" si="2"/>
        <v>1.2464999999999999</v>
      </c>
      <c r="J58" s="3">
        <f t="shared" si="0"/>
        <v>39.195121951219512</v>
      </c>
      <c r="K58">
        <v>0.35</v>
      </c>
      <c r="L58">
        <v>0.85</v>
      </c>
      <c r="M58">
        <v>0.85</v>
      </c>
      <c r="N58">
        <v>0.27927999999999997</v>
      </c>
      <c r="O58">
        <v>0.29913000000000001</v>
      </c>
      <c r="P58">
        <v>0.66808999999999996</v>
      </c>
    </row>
    <row r="59" spans="1:16" x14ac:dyDescent="0.3">
      <c r="A59" t="s">
        <v>8</v>
      </c>
      <c r="B59">
        <v>528</v>
      </c>
      <c r="C59" s="2">
        <v>45460</v>
      </c>
      <c r="D59">
        <v>2</v>
      </c>
      <c r="E59" t="s">
        <v>21</v>
      </c>
      <c r="F59" s="1" t="s">
        <v>11</v>
      </c>
      <c r="G59" s="1" t="s">
        <v>12</v>
      </c>
      <c r="H59">
        <f t="shared" si="1"/>
        <v>3.4</v>
      </c>
      <c r="I59">
        <f t="shared" si="2"/>
        <v>1.8402700000000001</v>
      </c>
      <c r="J59" s="3">
        <f t="shared" si="0"/>
        <v>45.874411764705876</v>
      </c>
      <c r="K59">
        <v>0.44</v>
      </c>
      <c r="L59">
        <v>1.45</v>
      </c>
      <c r="M59">
        <v>1.51</v>
      </c>
      <c r="N59">
        <v>0.31973000000000001</v>
      </c>
      <c r="O59">
        <v>0.39779999999999999</v>
      </c>
      <c r="P59">
        <v>1.1227400000000001</v>
      </c>
    </row>
    <row r="60" spans="1:16" x14ac:dyDescent="0.3">
      <c r="A60" t="s">
        <v>8</v>
      </c>
      <c r="B60">
        <v>529</v>
      </c>
      <c r="C60" s="2">
        <v>45460</v>
      </c>
      <c r="D60">
        <v>2</v>
      </c>
      <c r="E60" t="s">
        <v>21</v>
      </c>
      <c r="F60" s="1" t="s">
        <v>11</v>
      </c>
      <c r="G60" s="1" t="s">
        <v>13</v>
      </c>
      <c r="H60">
        <f t="shared" si="1"/>
        <v>3.36</v>
      </c>
      <c r="I60">
        <f t="shared" si="2"/>
        <v>1.8515000000000001</v>
      </c>
      <c r="J60" s="3">
        <f t="shared" si="0"/>
        <v>44.895833333333329</v>
      </c>
      <c r="K60">
        <v>0.41</v>
      </c>
      <c r="L60">
        <v>1.38</v>
      </c>
      <c r="M60">
        <v>1.57</v>
      </c>
      <c r="N60">
        <v>0.32450000000000001</v>
      </c>
      <c r="O60">
        <v>0.40429999999999999</v>
      </c>
      <c r="P60">
        <v>1.1227</v>
      </c>
    </row>
    <row r="61" spans="1:16" x14ac:dyDescent="0.3">
      <c r="A61" t="s">
        <v>8</v>
      </c>
      <c r="B61">
        <v>530</v>
      </c>
      <c r="C61" s="2">
        <v>45460</v>
      </c>
      <c r="D61">
        <v>2</v>
      </c>
      <c r="E61" t="s">
        <v>21</v>
      </c>
      <c r="F61" s="1" t="s">
        <v>11</v>
      </c>
      <c r="G61" s="1">
        <v>0</v>
      </c>
      <c r="H61">
        <f t="shared" si="1"/>
        <v>2.52</v>
      </c>
      <c r="I61">
        <f t="shared" si="2"/>
        <v>1.5706199999999999</v>
      </c>
      <c r="J61" s="3">
        <f t="shared" si="0"/>
        <v>37.673809523809531</v>
      </c>
      <c r="K61">
        <v>0.38</v>
      </c>
      <c r="L61">
        <v>1.01</v>
      </c>
      <c r="M61">
        <v>1.1299999999999999</v>
      </c>
      <c r="N61">
        <v>0.30703999999999998</v>
      </c>
      <c r="O61">
        <v>0.35171000000000002</v>
      </c>
      <c r="P61">
        <v>0.91186999999999996</v>
      </c>
    </row>
    <row r="62" spans="1:16" x14ac:dyDescent="0.3">
      <c r="A62" t="s">
        <v>8</v>
      </c>
      <c r="B62">
        <v>543</v>
      </c>
      <c r="C62" s="2">
        <v>45460</v>
      </c>
      <c r="D62">
        <v>3</v>
      </c>
      <c r="E62" t="s">
        <v>21</v>
      </c>
      <c r="F62" s="1" t="s">
        <v>11</v>
      </c>
      <c r="G62" s="1" t="s">
        <v>13</v>
      </c>
      <c r="H62">
        <f t="shared" si="1"/>
        <v>4</v>
      </c>
      <c r="I62">
        <f t="shared" si="2"/>
        <v>2.0931199999999999</v>
      </c>
      <c r="J62" s="3">
        <f t="shared" si="0"/>
        <v>47.672000000000004</v>
      </c>
      <c r="K62">
        <v>0.5</v>
      </c>
      <c r="L62">
        <v>1.92</v>
      </c>
      <c r="M62">
        <v>1.58</v>
      </c>
      <c r="N62">
        <v>0.35968</v>
      </c>
      <c r="O62">
        <v>0.53468000000000004</v>
      </c>
      <c r="P62">
        <v>1.19876</v>
      </c>
    </row>
    <row r="63" spans="1:16" x14ac:dyDescent="0.3">
      <c r="A63" t="s">
        <v>8</v>
      </c>
      <c r="B63">
        <v>544</v>
      </c>
      <c r="C63" s="2">
        <v>45460</v>
      </c>
      <c r="D63">
        <v>3</v>
      </c>
      <c r="E63" t="s">
        <v>21</v>
      </c>
      <c r="F63" s="1" t="s">
        <v>11</v>
      </c>
      <c r="G63" s="1" t="s">
        <v>12</v>
      </c>
      <c r="H63">
        <f t="shared" si="1"/>
        <v>3.3</v>
      </c>
      <c r="I63">
        <f t="shared" si="2"/>
        <v>1.8069099999999998</v>
      </c>
      <c r="J63" s="3">
        <f t="shared" si="0"/>
        <v>45.24515151515152</v>
      </c>
      <c r="K63">
        <v>0.42</v>
      </c>
      <c r="L63">
        <v>1.51</v>
      </c>
      <c r="M63">
        <v>1.37</v>
      </c>
      <c r="N63">
        <v>0.30762</v>
      </c>
      <c r="O63">
        <v>0.43425999999999998</v>
      </c>
      <c r="P63">
        <v>1.0650299999999999</v>
      </c>
    </row>
    <row r="64" spans="1:16" x14ac:dyDescent="0.3">
      <c r="A64" t="s">
        <v>8</v>
      </c>
      <c r="B64">
        <v>545</v>
      </c>
      <c r="C64" s="2">
        <v>45460</v>
      </c>
      <c r="D64">
        <v>3</v>
      </c>
      <c r="E64" t="s">
        <v>21</v>
      </c>
      <c r="F64" s="1" t="s">
        <v>11</v>
      </c>
      <c r="G64" s="1">
        <v>0</v>
      </c>
      <c r="H64">
        <f t="shared" si="1"/>
        <v>1.6400000000000001</v>
      </c>
      <c r="I64">
        <f t="shared" si="2"/>
        <v>1.0029300000000001</v>
      </c>
      <c r="J64" s="3">
        <f t="shared" si="0"/>
        <v>38.845731707317071</v>
      </c>
      <c r="K64">
        <v>0.3</v>
      </c>
      <c r="L64">
        <v>0.72</v>
      </c>
      <c r="M64">
        <v>0.62</v>
      </c>
      <c r="N64">
        <v>0.23951</v>
      </c>
      <c r="O64">
        <v>0.26645000000000002</v>
      </c>
      <c r="P64">
        <v>0.49697000000000002</v>
      </c>
    </row>
    <row r="65" spans="1:16" x14ac:dyDescent="0.3">
      <c r="A65" t="s">
        <v>8</v>
      </c>
      <c r="B65">
        <v>546</v>
      </c>
      <c r="C65" s="2">
        <v>45460</v>
      </c>
      <c r="D65">
        <v>3</v>
      </c>
      <c r="E65" t="s">
        <v>21</v>
      </c>
      <c r="F65" s="1" t="s">
        <v>10</v>
      </c>
      <c r="G65" s="1" t="s">
        <v>13</v>
      </c>
      <c r="H65">
        <f t="shared" si="1"/>
        <v>2.96</v>
      </c>
      <c r="I65">
        <f t="shared" si="2"/>
        <v>1.6058600000000001</v>
      </c>
      <c r="J65" s="3">
        <f t="shared" si="0"/>
        <v>45.747972972972967</v>
      </c>
      <c r="K65">
        <v>0.42</v>
      </c>
      <c r="L65">
        <v>1.26</v>
      </c>
      <c r="M65">
        <v>1.28</v>
      </c>
      <c r="N65">
        <v>0.30991000000000002</v>
      </c>
      <c r="O65">
        <v>0.36263000000000001</v>
      </c>
      <c r="P65">
        <v>0.93332000000000004</v>
      </c>
    </row>
    <row r="66" spans="1:16" x14ac:dyDescent="0.3">
      <c r="A66" t="s">
        <v>8</v>
      </c>
      <c r="B66">
        <v>547</v>
      </c>
      <c r="C66" s="2">
        <v>45460</v>
      </c>
      <c r="D66">
        <v>3</v>
      </c>
      <c r="E66" t="s">
        <v>21</v>
      </c>
      <c r="F66" s="1" t="s">
        <v>10</v>
      </c>
      <c r="G66" s="1">
        <v>0</v>
      </c>
      <c r="H66">
        <f t="shared" si="1"/>
        <v>2.98</v>
      </c>
      <c r="I66">
        <f t="shared" si="2"/>
        <v>1.7052</v>
      </c>
      <c r="J66" s="3">
        <f t="shared" si="0"/>
        <v>42.77852348993288</v>
      </c>
      <c r="K66">
        <v>0.42</v>
      </c>
      <c r="L66">
        <v>1.3</v>
      </c>
      <c r="M66">
        <v>1.26</v>
      </c>
      <c r="N66">
        <v>0.33410000000000001</v>
      </c>
      <c r="O66">
        <v>0.38777</v>
      </c>
      <c r="P66">
        <v>0.98333000000000004</v>
      </c>
    </row>
    <row r="67" spans="1:16" x14ac:dyDescent="0.3">
      <c r="A67" t="s">
        <v>8</v>
      </c>
      <c r="B67">
        <v>548</v>
      </c>
      <c r="C67" s="2">
        <v>45460</v>
      </c>
      <c r="D67">
        <v>3</v>
      </c>
      <c r="E67" t="s">
        <v>21</v>
      </c>
      <c r="F67" s="1" t="s">
        <v>10</v>
      </c>
      <c r="G67" s="1" t="s">
        <v>12</v>
      </c>
      <c r="H67">
        <f t="shared" si="1"/>
        <v>3.61</v>
      </c>
      <c r="I67">
        <f t="shared" si="2"/>
        <v>1.80569</v>
      </c>
      <c r="J67" s="3">
        <f t="shared" ref="J67:J73" si="3">100 - ((I67*100)/H67)</f>
        <v>49.980886426592797</v>
      </c>
      <c r="K67">
        <v>0.46</v>
      </c>
      <c r="L67">
        <v>2.11</v>
      </c>
      <c r="M67">
        <v>1.04</v>
      </c>
      <c r="N67">
        <v>0.35798000000000002</v>
      </c>
      <c r="O67">
        <v>0.60592999999999997</v>
      </c>
      <c r="P67">
        <v>0.84177999999999997</v>
      </c>
    </row>
    <row r="68" spans="1:16" x14ac:dyDescent="0.3">
      <c r="A68" t="s">
        <v>8</v>
      </c>
      <c r="B68">
        <v>561</v>
      </c>
      <c r="C68" s="2">
        <v>45460</v>
      </c>
      <c r="D68">
        <v>4</v>
      </c>
      <c r="E68" t="s">
        <v>21</v>
      </c>
      <c r="F68" s="1" t="s">
        <v>10</v>
      </c>
      <c r="G68" s="1" t="s">
        <v>12</v>
      </c>
      <c r="H68">
        <f t="shared" si="1"/>
        <v>3.5200000000000005</v>
      </c>
      <c r="I68">
        <f t="shared" si="2"/>
        <v>1.9168000000000001</v>
      </c>
      <c r="J68" s="3">
        <f t="shared" si="3"/>
        <v>45.545454545454554</v>
      </c>
      <c r="K68">
        <v>0.45</v>
      </c>
      <c r="L68">
        <v>1.6</v>
      </c>
      <c r="M68">
        <v>1.47</v>
      </c>
      <c r="N68">
        <v>0.35763</v>
      </c>
      <c r="O68">
        <v>0.41898000000000002</v>
      </c>
      <c r="P68">
        <v>1.14019</v>
      </c>
    </row>
    <row r="69" spans="1:16" x14ac:dyDescent="0.3">
      <c r="A69" t="s">
        <v>8</v>
      </c>
      <c r="B69">
        <v>562</v>
      </c>
      <c r="C69" s="2">
        <v>45460</v>
      </c>
      <c r="D69">
        <v>4</v>
      </c>
      <c r="E69" t="s">
        <v>21</v>
      </c>
      <c r="F69" s="1" t="s">
        <v>10</v>
      </c>
      <c r="G69" s="1" t="s">
        <v>13</v>
      </c>
      <c r="H69">
        <f t="shared" si="1"/>
        <v>3.1</v>
      </c>
      <c r="I69">
        <f t="shared" si="2"/>
        <v>1.7499800000000001</v>
      </c>
      <c r="J69" s="3">
        <f t="shared" si="3"/>
        <v>43.549032258064514</v>
      </c>
      <c r="K69">
        <v>0.45</v>
      </c>
      <c r="L69">
        <v>1.36</v>
      </c>
      <c r="M69">
        <v>1.29</v>
      </c>
      <c r="N69">
        <v>0.32733000000000001</v>
      </c>
      <c r="O69">
        <v>0.41961999999999999</v>
      </c>
      <c r="P69">
        <v>1.0030300000000001</v>
      </c>
    </row>
    <row r="70" spans="1:16" x14ac:dyDescent="0.3">
      <c r="A70" t="s">
        <v>8</v>
      </c>
      <c r="B70">
        <v>563</v>
      </c>
      <c r="C70" s="2">
        <v>45460</v>
      </c>
      <c r="D70">
        <v>4</v>
      </c>
      <c r="E70" t="s">
        <v>21</v>
      </c>
      <c r="F70" s="1" t="s">
        <v>10</v>
      </c>
      <c r="G70" s="1">
        <v>0</v>
      </c>
      <c r="H70">
        <f t="shared" si="1"/>
        <v>1.9899999999999998</v>
      </c>
      <c r="I70">
        <f t="shared" si="2"/>
        <v>1.1559900000000001</v>
      </c>
      <c r="J70" s="3">
        <f t="shared" si="3"/>
        <v>41.910050251256273</v>
      </c>
      <c r="K70">
        <v>0.33</v>
      </c>
      <c r="L70">
        <v>0.84</v>
      </c>
      <c r="M70">
        <v>0.82</v>
      </c>
      <c r="N70">
        <v>0.26750000000000002</v>
      </c>
      <c r="O70">
        <v>0.28738000000000002</v>
      </c>
      <c r="P70">
        <v>0.60111000000000003</v>
      </c>
    </row>
    <row r="71" spans="1:16" x14ac:dyDescent="0.3">
      <c r="A71" t="s">
        <v>8</v>
      </c>
      <c r="B71">
        <v>564</v>
      </c>
      <c r="C71" s="2">
        <v>45460</v>
      </c>
      <c r="D71">
        <v>4</v>
      </c>
      <c r="E71" t="s">
        <v>21</v>
      </c>
      <c r="F71" s="1" t="s">
        <v>11</v>
      </c>
      <c r="G71" s="1">
        <v>0</v>
      </c>
      <c r="H71">
        <f t="shared" si="1"/>
        <v>1.83</v>
      </c>
      <c r="I71">
        <f t="shared" si="2"/>
        <v>1.1665000000000001</v>
      </c>
      <c r="J71" s="3">
        <f t="shared" si="3"/>
        <v>36.256830601092894</v>
      </c>
      <c r="K71">
        <v>0.32</v>
      </c>
      <c r="L71">
        <v>0.73</v>
      </c>
      <c r="M71">
        <v>0.78</v>
      </c>
      <c r="N71">
        <v>0.25878000000000001</v>
      </c>
      <c r="O71">
        <v>0.28192</v>
      </c>
      <c r="P71">
        <v>0.62580000000000002</v>
      </c>
    </row>
    <row r="72" spans="1:16" x14ac:dyDescent="0.3">
      <c r="A72" t="s">
        <v>8</v>
      </c>
      <c r="B72">
        <v>565</v>
      </c>
      <c r="C72" s="2">
        <v>45460</v>
      </c>
      <c r="D72">
        <v>4</v>
      </c>
      <c r="E72" t="s">
        <v>21</v>
      </c>
      <c r="F72" s="1" t="s">
        <v>11</v>
      </c>
      <c r="G72" s="1" t="s">
        <v>12</v>
      </c>
      <c r="H72">
        <f t="shared" si="1"/>
        <v>3.17</v>
      </c>
      <c r="I72">
        <f t="shared" si="2"/>
        <v>1.7133400000000001</v>
      </c>
      <c r="J72" s="3">
        <f t="shared" si="3"/>
        <v>45.951419558359618</v>
      </c>
      <c r="K72">
        <v>0.49</v>
      </c>
      <c r="L72">
        <v>1.48</v>
      </c>
      <c r="M72">
        <v>1.2</v>
      </c>
      <c r="N72">
        <v>0.33792</v>
      </c>
      <c r="O72">
        <v>0.44270999999999999</v>
      </c>
      <c r="P72">
        <v>0.93271000000000004</v>
      </c>
    </row>
    <row r="73" spans="1:16" x14ac:dyDescent="0.3">
      <c r="A73" t="s">
        <v>8</v>
      </c>
      <c r="B73">
        <v>566</v>
      </c>
      <c r="C73" s="2">
        <v>45460</v>
      </c>
      <c r="D73">
        <v>4</v>
      </c>
      <c r="E73" t="s">
        <v>21</v>
      </c>
      <c r="F73" s="1" t="s">
        <v>11</v>
      </c>
      <c r="G73" s="1" t="s">
        <v>13</v>
      </c>
      <c r="H73">
        <f>(K73+L73+M73)</f>
        <v>3.98</v>
      </c>
      <c r="I73">
        <f t="shared" si="2"/>
        <v>2.07429</v>
      </c>
      <c r="J73" s="3">
        <f t="shared" si="3"/>
        <v>47.882160804020103</v>
      </c>
      <c r="K73">
        <v>0.46</v>
      </c>
      <c r="L73">
        <v>1.92</v>
      </c>
      <c r="M73">
        <v>1.6</v>
      </c>
      <c r="N73">
        <v>0.35086000000000001</v>
      </c>
      <c r="O73">
        <v>0.49979000000000001</v>
      </c>
      <c r="P73">
        <v>1.2236400000000001</v>
      </c>
    </row>
  </sheetData>
  <sortState xmlns:xlrd2="http://schemas.microsoft.com/office/spreadsheetml/2017/richdata2" ref="B2:G25">
    <sortCondition ref="B2:B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Ardigueri</dc:creator>
  <cp:lastModifiedBy>Matheus Ardigueri</cp:lastModifiedBy>
  <dcterms:created xsi:type="dcterms:W3CDTF">2024-06-17T20:00:21Z</dcterms:created>
  <dcterms:modified xsi:type="dcterms:W3CDTF">2026-04-30T21:04:21Z</dcterms:modified>
</cp:coreProperties>
</file>